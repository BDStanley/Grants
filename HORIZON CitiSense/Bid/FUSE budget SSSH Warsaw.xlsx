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bfsrv1\bf1sharedfolders\RS-RSC\01 Projects\03 RSCAS Project Management Overview\Applications in preparation\Joanna\Horizon Europe September 2025\Erik Jones - HORIZON-CL2-2025-01-DEMOCRACY-03 (FUSE)\Budget\12. SSH Warsaw budget\"/>
    </mc:Choice>
  </mc:AlternateContent>
  <xr:revisionPtr revIDLastSave="0" documentId="8_{851174DF-62BD-4EB6-97CA-E82EE2D5B1A6}" xr6:coauthVersionLast="47" xr6:coauthVersionMax="47" xr10:uidLastSave="{00000000-0000-0000-0000-000000000000}"/>
  <bookViews>
    <workbookView xWindow="-240" yWindow="1170" windowWidth="27180" windowHeight="6795" activeTab="1" xr2:uid="{152FC6C6-C7A7-4EE8-BA34-0C1F92017D94}"/>
  </bookViews>
  <sheets>
    <sheet name="Work packages" sheetId="2" r:id="rId1"/>
    <sheet name="Budge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6" i="1" l="1"/>
  <c r="E14" i="1" l="1"/>
  <c r="E15" i="1"/>
  <c r="E13" i="1"/>
  <c r="G14" i="1"/>
  <c r="G15" i="1"/>
  <c r="G13" i="1"/>
  <c r="G34" i="1"/>
  <c r="G35" i="1"/>
  <c r="G36" i="1"/>
  <c r="G33" i="1"/>
  <c r="G28" i="1"/>
  <c r="G30" i="1"/>
  <c r="G23" i="1"/>
  <c r="G24" i="1"/>
  <c r="G22" i="1"/>
  <c r="G20" i="1"/>
  <c r="E9" i="1"/>
  <c r="G9" i="1" s="1"/>
  <c r="E10" i="1"/>
  <c r="G10" i="1" s="1"/>
  <c r="E11" i="1"/>
  <c r="G11" i="1" s="1"/>
  <c r="E8" i="1"/>
  <c r="G8" i="1" s="1"/>
  <c r="G38" i="1" l="1"/>
  <c r="G41" i="1" s="1"/>
  <c r="G39" i="1"/>
  <c r="G43" i="1" l="1"/>
</calcChain>
</file>

<file path=xl/sharedStrings.xml><?xml version="1.0" encoding="utf-8"?>
<sst xmlns="http://schemas.openxmlformats.org/spreadsheetml/2006/main" count="74" uniqueCount="70">
  <si>
    <t xml:space="preserve">A.1 Emplyees (or Equivalent) </t>
  </si>
  <si>
    <t>Senior Scientists</t>
  </si>
  <si>
    <t>Junior Scientists</t>
  </si>
  <si>
    <t xml:space="preserve">Technical Personnel </t>
  </si>
  <si>
    <t xml:space="preserve">Administrative Personnel </t>
  </si>
  <si>
    <t>A.2 Natural personel under direct contract</t>
  </si>
  <si>
    <t xml:space="preserve">A.3 Seconded personel </t>
  </si>
  <si>
    <t>A.4 SME owners and natural personel beneficiaries</t>
  </si>
  <si>
    <t xml:space="preserve">Items </t>
  </si>
  <si>
    <t>TOTAL COSTS</t>
  </si>
  <si>
    <t xml:space="preserve">B. Direct Subcontracting Costs </t>
  </si>
  <si>
    <t xml:space="preserve">C. Direct Purchase Costs </t>
  </si>
  <si>
    <t xml:space="preserve">A. Direct Personnel Cost </t>
  </si>
  <si>
    <t>C.1 Travel and subsitance</t>
  </si>
  <si>
    <t>C.2 Equipment</t>
  </si>
  <si>
    <t>Equipment</t>
  </si>
  <si>
    <t>Infrastucture</t>
  </si>
  <si>
    <t>Other assests</t>
  </si>
  <si>
    <t xml:space="preserve">C.3 Other goods, works and services </t>
  </si>
  <si>
    <t>Consumables</t>
  </si>
  <si>
    <t>Services for meetings, seminars</t>
  </si>
  <si>
    <t>Services for disseminaitons activites (includin websites)</t>
  </si>
  <si>
    <t>Publication fees</t>
  </si>
  <si>
    <t>Other (shipment, insurance, translaiton, etc)</t>
  </si>
  <si>
    <t>D. Other Costs Catergories</t>
  </si>
  <si>
    <t>D.1 Financial support to third parties</t>
  </si>
  <si>
    <t>D. 2 Internally invoiced goods and services</t>
  </si>
  <si>
    <t xml:space="preserve">D.3 Cirtual access to research infrastructure unit costs </t>
  </si>
  <si>
    <t xml:space="preserve">D.5 PCP/PPI procurement costs </t>
  </si>
  <si>
    <t>TOTAL Direct Personnel Costs and Purchase Costs (A+C)</t>
  </si>
  <si>
    <t>TOTAL Direct COSTS (A+B+C+D)</t>
  </si>
  <si>
    <t>E. Indirects costs (25%*(A+C))</t>
  </si>
  <si>
    <t>F. Total Costs (A+B+C+D+E)</t>
  </si>
  <si>
    <t>Person months</t>
  </si>
  <si>
    <t>Average costs per Item</t>
  </si>
  <si>
    <t xml:space="preserve">Start </t>
  </si>
  <si>
    <t>End</t>
  </si>
  <si>
    <t xml:space="preserve">WP1 </t>
  </si>
  <si>
    <t xml:space="preserve">Literature Review, Comparative Historical Analysis, and Theoretical Framework Development </t>
  </si>
  <si>
    <t xml:space="preserve">WP2 </t>
  </si>
  <si>
    <t>Public Opinion Surveys</t>
  </si>
  <si>
    <t>WP3</t>
  </si>
  <si>
    <t>Citizen engagement pilots for citizen-driven, transparent and inclusive enlargement</t>
  </si>
  <si>
    <t>WP4</t>
  </si>
  <si>
    <t>Security Dimensions of Enlargement</t>
  </si>
  <si>
    <t>WP5</t>
  </si>
  <si>
    <t>Economics</t>
  </si>
  <si>
    <t>WP6</t>
  </si>
  <si>
    <t>Societal Dimensions of EU Enlargement</t>
  </si>
  <si>
    <t xml:space="preserve">WP7 </t>
  </si>
  <si>
    <t>Anticipating Futures of EU Enlargement</t>
  </si>
  <si>
    <t xml:space="preserve">WP8 </t>
  </si>
  <si>
    <t>A Toolbox with toolkits for policy-community, citizen education
(including school teachers) and civil society</t>
  </si>
  <si>
    <t xml:space="preserve">WP9 </t>
  </si>
  <si>
    <t>Communications, Dissemination &amp; Exploitation</t>
  </si>
  <si>
    <t xml:space="preserve">WP10 </t>
  </si>
  <si>
    <t>Project management/Ethics clearance</t>
  </si>
  <si>
    <t>WP1</t>
  </si>
  <si>
    <t>WP2</t>
  </si>
  <si>
    <t>WP8</t>
  </si>
  <si>
    <t>WP9</t>
  </si>
  <si>
    <t>WP10</t>
  </si>
  <si>
    <t>WP7</t>
  </si>
  <si>
    <t>type here</t>
  </si>
  <si>
    <t>PERSONNEL Costs</t>
  </si>
  <si>
    <t>OTHER DIRECT COSTS</t>
  </si>
  <si>
    <t xml:space="preserve">JUSTIFICATION: in order to write a comprehensive and compelling case for resources, please provide description of the costs involved and existing resource to be used in the project. In particular, provide a justification for anything you judge as "exceptional", e.g. if you recruit more than one additional research aim to purchase a piece of equipment or need a lot of travel resources for field trips/survey. </t>
  </si>
  <si>
    <t>Please include correct number of person months per WP --&gt; the summary of PMs will be calculated automatically</t>
  </si>
  <si>
    <t>Please allocate the costs to proper WPs</t>
  </si>
  <si>
    <t>Travel for 2 people for kick off meeting and final confernce - each trip per person includes; return european travel €600, 3 nights accommodaiton €450, 3 days subsitance €200.  Organisation of  2 workshops, the cost includs travel for x people at ......, catering for x at ......., accommodaiton ........                                                                                                              Attendence to xxx confernces by 2 member of the team to present ..........                                                                               Field work - travel to ..... includes costs of the return tickets ......, accommodations of........ and subsitance ..........                      The costs of 1 open access journal is required which will be publish in colabortion with ..... on the topic of........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</si>
</sst>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€-2]\ #,##0.00"/>
    <numFmt numFmtId="165" formatCode="_ [$€-813]\ * #,##0.00_ ;_ [$€-813]\ * \-#,##0.00_ ;_ [$€-813]\ * &quot;-&quot;??_ ;_ @_ "/>
  </numFmts>
  <fonts count="7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.5"/>
      <color theme="1"/>
      <name val="Times New Roman"/>
      <family val="1"/>
    </font>
    <font>
      <sz val="11"/>
      <name val="Arial"/>
      <family val="2"/>
    </font>
    <font>
      <b/>
      <sz val="11"/>
      <color rgb="FFFF0000"/>
      <name val="Aptos Narrow"/>
      <family val="2"/>
    </font>
    <font>
      <b/>
      <sz val="11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0" fontId="0" fillId="0" borderId="1" xfId="0" applyBorder="1"/>
    <xf numFmtId="0" fontId="2" fillId="2" borderId="1" xfId="0" applyFont="1" applyFill="1" applyBorder="1"/>
    <xf numFmtId="0" fontId="0" fillId="2" borderId="1" xfId="0" applyFill="1" applyBorder="1"/>
    <xf numFmtId="0" fontId="2" fillId="0" borderId="1" xfId="0" applyFont="1" applyBorder="1" applyAlignment="1">
      <alignment horizontal="distributed"/>
    </xf>
    <xf numFmtId="0" fontId="2" fillId="0" borderId="1" xfId="0" applyFont="1" applyBorder="1" applyAlignment="1">
      <alignment horizontal="right"/>
    </xf>
    <xf numFmtId="0" fontId="3" fillId="0" borderId="2" xfId="0" applyFont="1" applyBorder="1"/>
    <xf numFmtId="0" fontId="3" fillId="0" borderId="2" xfId="0" applyFont="1" applyBorder="1" applyAlignment="1">
      <alignment horizontal="right"/>
    </xf>
    <xf numFmtId="0" fontId="0" fillId="0" borderId="2" xfId="0" applyBorder="1"/>
    <xf numFmtId="0" fontId="3" fillId="0" borderId="1" xfId="0" applyFont="1" applyBorder="1"/>
    <xf numFmtId="0" fontId="1" fillId="0" borderId="1" xfId="0" applyFont="1" applyBorder="1"/>
    <xf numFmtId="164" fontId="0" fillId="0" borderId="1" xfId="0" applyNumberFormat="1" applyBorder="1"/>
    <xf numFmtId="164" fontId="0" fillId="2" borderId="1" xfId="0" applyNumberFormat="1" applyFill="1" applyBorder="1"/>
    <xf numFmtId="164" fontId="2" fillId="2" borderId="1" xfId="0" applyNumberFormat="1" applyFont="1" applyFill="1" applyBorder="1"/>
    <xf numFmtId="0" fontId="2" fillId="0" borderId="1" xfId="0" applyFont="1" applyBorder="1" applyAlignment="1">
      <alignment horizontal="center"/>
    </xf>
    <xf numFmtId="164" fontId="1" fillId="2" borderId="1" xfId="0" applyNumberFormat="1" applyFont="1" applyFill="1" applyBorder="1"/>
    <xf numFmtId="0" fontId="1" fillId="4" borderId="0" xfId="0" applyFont="1" applyFill="1"/>
    <xf numFmtId="0" fontId="5" fillId="4" borderId="0" xfId="0" applyFont="1" applyFill="1" applyAlignment="1">
      <alignment vertical="center"/>
    </xf>
    <xf numFmtId="0" fontId="6" fillId="4" borderId="1" xfId="0" applyFont="1" applyFill="1" applyBorder="1"/>
    <xf numFmtId="0" fontId="4" fillId="3" borderId="3" xfId="0" applyFont="1" applyFill="1" applyBorder="1" applyAlignment="1" applyProtection="1">
      <alignment horizontal="left" vertical="top" wrapText="1"/>
      <protection locked="0"/>
    </xf>
    <xf numFmtId="0" fontId="0" fillId="0" borderId="4" xfId="0" applyBorder="1" applyAlignment="1" applyProtection="1">
      <alignment horizontal="left" vertical="top" wrapText="1"/>
      <protection locked="0"/>
    </xf>
    <xf numFmtId="0" fontId="5" fillId="4" borderId="3" xfId="0" applyFont="1" applyFill="1" applyBorder="1" applyAlignment="1">
      <alignment horizontal="distributed" vertical="center"/>
    </xf>
    <xf numFmtId="0" fontId="5" fillId="4" borderId="4" xfId="0" applyFont="1" applyFill="1" applyBorder="1" applyAlignment="1">
      <alignment horizontal="distributed" vertical="center"/>
    </xf>
    <xf numFmtId="0" fontId="5" fillId="4" borderId="5" xfId="0" applyFont="1" applyFill="1" applyBorder="1" applyAlignment="1">
      <alignment horizontal="distributed" vertical="center"/>
    </xf>
    <xf numFmtId="0" fontId="0" fillId="0" borderId="6" xfId="0" applyFill="1" applyBorder="1"/>
    <xf numFmtId="165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CEF5D-59E8-4CB0-AB28-1B2B5974138E}">
  <dimension ref="C4:F14"/>
  <sheetViews>
    <sheetView workbookViewId="0">
      <selection activeCell="D17" sqref="D17"/>
    </sheetView>
  </sheetViews>
  <sheetFormatPr defaultRowHeight="15" x14ac:dyDescent="0.25"/>
  <cols>
    <col min="1" max="1" width="4.85546875" customWidth="1"/>
    <col min="2" max="2" width="2.5703125" customWidth="1"/>
    <col min="3" max="3" width="8.7109375" customWidth="1"/>
    <col min="4" max="4" width="94.28515625" bestFit="1" customWidth="1"/>
    <col min="6" max="6" width="12.42578125" customWidth="1"/>
  </cols>
  <sheetData>
    <row r="4" spans="3:6" x14ac:dyDescent="0.25">
      <c r="E4" s="2" t="s">
        <v>35</v>
      </c>
      <c r="F4" s="2" t="s">
        <v>36</v>
      </c>
    </row>
    <row r="5" spans="3:6" x14ac:dyDescent="0.25">
      <c r="C5" s="2" t="s">
        <v>37</v>
      </c>
      <c r="D5" s="7" t="s">
        <v>38</v>
      </c>
      <c r="E5" s="7">
        <v>1</v>
      </c>
      <c r="F5" s="10">
        <v>36</v>
      </c>
    </row>
    <row r="6" spans="3:6" x14ac:dyDescent="0.25">
      <c r="C6" s="2" t="s">
        <v>39</v>
      </c>
      <c r="D6" s="7" t="s">
        <v>40</v>
      </c>
      <c r="E6" s="7">
        <v>3</v>
      </c>
      <c r="F6" s="10">
        <v>36</v>
      </c>
    </row>
    <row r="7" spans="3:6" x14ac:dyDescent="0.25">
      <c r="C7" s="2" t="s">
        <v>41</v>
      </c>
      <c r="D7" s="7" t="s">
        <v>42</v>
      </c>
      <c r="E7" s="8">
        <v>16</v>
      </c>
      <c r="F7" s="10">
        <v>36</v>
      </c>
    </row>
    <row r="8" spans="3:6" x14ac:dyDescent="0.25">
      <c r="C8" s="2" t="s">
        <v>43</v>
      </c>
      <c r="D8" s="7" t="s">
        <v>44</v>
      </c>
      <c r="E8" s="9">
        <v>3</v>
      </c>
      <c r="F8" s="11">
        <v>24</v>
      </c>
    </row>
    <row r="9" spans="3:6" x14ac:dyDescent="0.25">
      <c r="C9" s="2" t="s">
        <v>45</v>
      </c>
      <c r="D9" s="7" t="s">
        <v>46</v>
      </c>
      <c r="E9" s="9">
        <v>3</v>
      </c>
      <c r="F9" s="11">
        <v>24</v>
      </c>
    </row>
    <row r="10" spans="3:6" x14ac:dyDescent="0.25">
      <c r="C10" s="2" t="s">
        <v>47</v>
      </c>
      <c r="D10" s="7" t="s">
        <v>48</v>
      </c>
      <c r="E10" s="9">
        <v>3</v>
      </c>
      <c r="F10" s="11">
        <v>27</v>
      </c>
    </row>
    <row r="11" spans="3:6" x14ac:dyDescent="0.25">
      <c r="C11" s="2" t="s">
        <v>49</v>
      </c>
      <c r="D11" s="7" t="s">
        <v>50</v>
      </c>
      <c r="E11" s="9">
        <v>1</v>
      </c>
      <c r="F11" s="2">
        <v>36</v>
      </c>
    </row>
    <row r="12" spans="3:6" x14ac:dyDescent="0.25">
      <c r="C12" s="2" t="s">
        <v>51</v>
      </c>
      <c r="D12" s="7" t="s">
        <v>52</v>
      </c>
      <c r="E12" s="9">
        <v>6</v>
      </c>
      <c r="F12" s="2">
        <v>36</v>
      </c>
    </row>
    <row r="13" spans="3:6" x14ac:dyDescent="0.25">
      <c r="C13" s="2" t="s">
        <v>53</v>
      </c>
      <c r="D13" s="7" t="s">
        <v>54</v>
      </c>
      <c r="E13" s="9">
        <v>1</v>
      </c>
      <c r="F13" s="2">
        <v>36</v>
      </c>
    </row>
    <row r="14" spans="3:6" x14ac:dyDescent="0.25">
      <c r="C14" s="2" t="s">
        <v>55</v>
      </c>
      <c r="D14" s="7" t="s">
        <v>56</v>
      </c>
      <c r="E14" s="9">
        <v>1</v>
      </c>
      <c r="F14" s="2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8FF21-064A-4A35-AB11-1DA9F14ED3D9}">
  <dimension ref="B2:S52"/>
  <sheetViews>
    <sheetView tabSelected="1" topLeftCell="A39" workbookViewId="0">
      <selection activeCell="N28" sqref="N28"/>
    </sheetView>
  </sheetViews>
  <sheetFormatPr defaultRowHeight="15" x14ac:dyDescent="0.25"/>
  <cols>
    <col min="2" max="2" width="10.28515625" customWidth="1"/>
    <col min="3" max="3" width="50.7109375" customWidth="1"/>
    <col min="4" max="4" width="6.28515625" customWidth="1"/>
    <col min="5" max="6" width="16.140625" customWidth="1"/>
    <col min="7" max="7" width="16.85546875" customWidth="1"/>
    <col min="8" max="8" width="3.7109375" customWidth="1"/>
    <col min="10" max="10" width="12.42578125" bestFit="1" customWidth="1"/>
    <col min="11" max="11" width="11.5703125" bestFit="1" customWidth="1"/>
    <col min="13" max="15" width="10.5703125" bestFit="1" customWidth="1"/>
    <col min="17" max="17" width="11.5703125" bestFit="1" customWidth="1"/>
    <col min="18" max="18" width="9.5703125" bestFit="1" customWidth="1"/>
  </cols>
  <sheetData>
    <row r="2" spans="2:19" x14ac:dyDescent="0.25">
      <c r="I2" s="18" t="s">
        <v>67</v>
      </c>
      <c r="J2" s="17"/>
      <c r="K2" s="17"/>
      <c r="L2" s="17"/>
      <c r="M2" s="17"/>
      <c r="N2" s="17"/>
      <c r="O2" s="17"/>
      <c r="P2" s="17"/>
      <c r="Q2" s="17"/>
      <c r="R2" s="17"/>
      <c r="S2" s="17"/>
    </row>
    <row r="3" spans="2:19" ht="29.25" customHeight="1" x14ac:dyDescent="0.25">
      <c r="B3" s="2"/>
      <c r="C3" s="2"/>
      <c r="D3" s="2"/>
      <c r="E3" s="6" t="s">
        <v>8</v>
      </c>
      <c r="F3" s="5" t="s">
        <v>34</v>
      </c>
      <c r="G3" s="6" t="s">
        <v>9</v>
      </c>
      <c r="I3" s="15" t="s">
        <v>57</v>
      </c>
      <c r="J3" s="15" t="s">
        <v>58</v>
      </c>
      <c r="K3" s="15" t="s">
        <v>41</v>
      </c>
      <c r="L3" s="15" t="s">
        <v>43</v>
      </c>
      <c r="M3" s="15" t="s">
        <v>45</v>
      </c>
      <c r="N3" s="15" t="s">
        <v>47</v>
      </c>
      <c r="O3" s="15" t="s">
        <v>62</v>
      </c>
      <c r="P3" s="15" t="s">
        <v>59</v>
      </c>
      <c r="Q3" s="15" t="s">
        <v>60</v>
      </c>
      <c r="R3" s="15" t="s">
        <v>61</v>
      </c>
      <c r="S3" s="2"/>
    </row>
    <row r="4" spans="2:19" x14ac:dyDescent="0.25">
      <c r="B4" s="2"/>
      <c r="C4" s="2"/>
      <c r="D4" s="2"/>
      <c r="E4" s="2"/>
      <c r="F4" s="2"/>
      <c r="G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2:19" x14ac:dyDescent="0.25">
      <c r="B5" s="3" t="s">
        <v>12</v>
      </c>
      <c r="C5" s="4"/>
      <c r="D5" s="4"/>
      <c r="E5" s="4" t="s">
        <v>33</v>
      </c>
      <c r="F5" s="4"/>
      <c r="G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spans="2:19" x14ac:dyDescent="0.25">
      <c r="B6" s="2"/>
      <c r="C6" s="2"/>
      <c r="D6" s="2"/>
      <c r="E6" s="2"/>
      <c r="F6" s="2"/>
      <c r="G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2:19" x14ac:dyDescent="0.25">
      <c r="B7" s="2" t="s">
        <v>0</v>
      </c>
      <c r="C7" s="2"/>
      <c r="D7" s="2"/>
      <c r="E7" s="2"/>
      <c r="F7" s="2"/>
      <c r="G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x14ac:dyDescent="0.25">
      <c r="B8" s="2"/>
      <c r="C8" s="2" t="s">
        <v>1</v>
      </c>
      <c r="D8" s="2"/>
      <c r="E8" s="2">
        <f>SUM(I8:R8)</f>
        <v>12</v>
      </c>
      <c r="F8" s="16">
        <v>5000</v>
      </c>
      <c r="G8" s="12">
        <f>E8*F8</f>
        <v>60000</v>
      </c>
      <c r="I8" s="2"/>
      <c r="J8" s="2">
        <v>0.5</v>
      </c>
      <c r="K8" s="2"/>
      <c r="L8" s="2"/>
      <c r="M8" s="2">
        <v>11</v>
      </c>
      <c r="N8" s="2"/>
      <c r="O8" s="25"/>
      <c r="P8" s="2">
        <v>0.5</v>
      </c>
      <c r="Q8" s="2"/>
      <c r="R8" s="2"/>
      <c r="S8" s="2"/>
    </row>
    <row r="9" spans="2:19" x14ac:dyDescent="0.25">
      <c r="B9" s="2"/>
      <c r="C9" s="2" t="s">
        <v>2</v>
      </c>
      <c r="D9" s="2"/>
      <c r="E9" s="2">
        <f t="shared" ref="E9:E15" si="0">SUM(I9:R9)</f>
        <v>0</v>
      </c>
      <c r="F9" s="16">
        <v>5000</v>
      </c>
      <c r="G9" s="12">
        <f t="shared" ref="G9:G15" si="1">E9*F9</f>
        <v>0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spans="2:19" x14ac:dyDescent="0.25">
      <c r="B10" s="2"/>
      <c r="C10" s="2" t="s">
        <v>3</v>
      </c>
      <c r="D10" s="2"/>
      <c r="E10" s="2">
        <f t="shared" si="0"/>
        <v>0</v>
      </c>
      <c r="F10" s="16">
        <v>5000</v>
      </c>
      <c r="G10" s="12">
        <f t="shared" si="1"/>
        <v>0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2:19" x14ac:dyDescent="0.25">
      <c r="B11" s="2"/>
      <c r="C11" s="2" t="s">
        <v>4</v>
      </c>
      <c r="D11" s="2"/>
      <c r="E11" s="2">
        <f>SUM(I11:R11)</f>
        <v>1</v>
      </c>
      <c r="F11" s="16">
        <v>5000</v>
      </c>
      <c r="G11" s="12">
        <f t="shared" si="1"/>
        <v>5000</v>
      </c>
      <c r="I11" s="2"/>
      <c r="J11" s="2"/>
      <c r="K11" s="2"/>
      <c r="L11" s="2"/>
      <c r="M11" s="2"/>
      <c r="N11" s="2"/>
      <c r="O11" s="2"/>
      <c r="Q11" s="2">
        <v>0.5</v>
      </c>
      <c r="R11" s="2">
        <v>0.5</v>
      </c>
      <c r="S11" s="2"/>
    </row>
    <row r="12" spans="2:19" x14ac:dyDescent="0.25">
      <c r="B12" s="2"/>
      <c r="C12" s="2"/>
      <c r="D12" s="2"/>
      <c r="E12" s="2"/>
      <c r="F12" s="2"/>
      <c r="G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spans="2:19" x14ac:dyDescent="0.25">
      <c r="B13" s="2" t="s">
        <v>5</v>
      </c>
      <c r="C13" s="2"/>
      <c r="D13" s="2"/>
      <c r="E13" s="2">
        <f t="shared" si="0"/>
        <v>0</v>
      </c>
      <c r="F13" s="2"/>
      <c r="G13" s="12">
        <f t="shared" si="1"/>
        <v>0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2:19" x14ac:dyDescent="0.25">
      <c r="B14" s="2" t="s">
        <v>6</v>
      </c>
      <c r="C14" s="2"/>
      <c r="D14" s="2"/>
      <c r="E14" s="2">
        <f t="shared" si="0"/>
        <v>0</v>
      </c>
      <c r="F14" s="2"/>
      <c r="G14" s="12">
        <f t="shared" si="1"/>
        <v>0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2:19" x14ac:dyDescent="0.25">
      <c r="B15" s="2" t="s">
        <v>7</v>
      </c>
      <c r="C15" s="2"/>
      <c r="D15" s="2"/>
      <c r="E15" s="2">
        <f t="shared" si="0"/>
        <v>0</v>
      </c>
      <c r="F15" s="2"/>
      <c r="G15" s="12">
        <f t="shared" si="1"/>
        <v>0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2:19" x14ac:dyDescent="0.25">
      <c r="B16" s="2"/>
      <c r="C16" s="2"/>
      <c r="D16" s="2"/>
      <c r="E16" s="2"/>
      <c r="F16" s="2"/>
      <c r="G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2:19" x14ac:dyDescent="0.25">
      <c r="B17" s="4" t="s">
        <v>10</v>
      </c>
      <c r="C17" s="4"/>
      <c r="D17" s="4"/>
      <c r="E17" s="4"/>
      <c r="F17" s="4"/>
      <c r="G17" s="26">
        <v>0</v>
      </c>
      <c r="I17" s="4"/>
      <c r="J17" s="26">
        <v>0</v>
      </c>
      <c r="K17" s="4"/>
      <c r="L17" s="4"/>
      <c r="M17" s="4"/>
      <c r="N17" s="4"/>
      <c r="O17" s="4"/>
      <c r="P17" s="4"/>
      <c r="Q17" s="4"/>
      <c r="R17" s="4"/>
      <c r="S17" s="4"/>
    </row>
    <row r="18" spans="2:19" x14ac:dyDescent="0.25">
      <c r="B18" s="2"/>
      <c r="C18" s="2"/>
      <c r="D18" s="2"/>
      <c r="E18" s="2"/>
      <c r="F18" s="2"/>
      <c r="G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pans="2:19" x14ac:dyDescent="0.25">
      <c r="B19" s="4" t="s">
        <v>11</v>
      </c>
      <c r="C19" s="4"/>
      <c r="D19" s="4"/>
      <c r="E19" s="4"/>
      <c r="F19" s="4"/>
      <c r="G19" s="13"/>
      <c r="I19" s="19" t="s">
        <v>68</v>
      </c>
      <c r="J19" s="19"/>
      <c r="K19" s="19"/>
      <c r="L19" s="19"/>
      <c r="M19" s="19"/>
      <c r="N19" s="19"/>
      <c r="O19" s="19"/>
      <c r="P19" s="19"/>
      <c r="Q19" s="19"/>
      <c r="R19" s="19"/>
      <c r="S19" s="19"/>
    </row>
    <row r="20" spans="2:19" x14ac:dyDescent="0.25">
      <c r="B20" s="2" t="s">
        <v>13</v>
      </c>
      <c r="C20" s="2"/>
      <c r="D20" s="2"/>
      <c r="E20" s="2">
        <v>8</v>
      </c>
      <c r="F20" s="12">
        <v>1250</v>
      </c>
      <c r="G20" s="12">
        <f t="shared" ref="G20:G30" si="2">E20*F20</f>
        <v>10000</v>
      </c>
      <c r="I20" s="2"/>
      <c r="J20" s="2"/>
      <c r="K20" s="12"/>
      <c r="L20" s="2"/>
      <c r="N20" s="2"/>
      <c r="O20" s="2"/>
      <c r="P20" s="2"/>
      <c r="Q20" s="12">
        <v>7500</v>
      </c>
      <c r="R20" s="12">
        <v>2500</v>
      </c>
      <c r="S20" s="2"/>
    </row>
    <row r="21" spans="2:19" x14ac:dyDescent="0.25">
      <c r="B21" s="2" t="s">
        <v>14</v>
      </c>
      <c r="C21" s="2"/>
      <c r="D21" s="2"/>
      <c r="E21" s="2"/>
      <c r="F21" s="12"/>
      <c r="G21" s="1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spans="2:19" x14ac:dyDescent="0.25">
      <c r="B22" s="2"/>
      <c r="C22" s="2" t="s">
        <v>15</v>
      </c>
      <c r="D22" s="2"/>
      <c r="E22" s="2"/>
      <c r="F22" s="12"/>
      <c r="G22" s="12">
        <f t="shared" si="2"/>
        <v>0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2:19" x14ac:dyDescent="0.25">
      <c r="B23" s="2"/>
      <c r="C23" s="2" t="s">
        <v>16</v>
      </c>
      <c r="D23" s="2"/>
      <c r="E23" s="2"/>
      <c r="F23" s="12"/>
      <c r="G23" s="12">
        <f t="shared" si="2"/>
        <v>0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spans="2:19" x14ac:dyDescent="0.25">
      <c r="B24" s="2"/>
      <c r="C24" s="2" t="s">
        <v>17</v>
      </c>
      <c r="D24" s="2"/>
      <c r="E24" s="2"/>
      <c r="F24" s="12"/>
      <c r="G24" s="12">
        <f t="shared" si="2"/>
        <v>0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2:19" x14ac:dyDescent="0.25">
      <c r="B25" s="2" t="s">
        <v>18</v>
      </c>
      <c r="C25" s="2"/>
      <c r="D25" s="2"/>
      <c r="E25" s="2"/>
      <c r="F25" s="12"/>
      <c r="G25" s="1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spans="2:19" x14ac:dyDescent="0.25">
      <c r="B26" s="2"/>
      <c r="C26" s="2" t="s">
        <v>19</v>
      </c>
      <c r="D26" s="2"/>
      <c r="E26" s="2"/>
      <c r="F26" s="12"/>
      <c r="G26" s="12">
        <v>15000</v>
      </c>
      <c r="I26" s="2"/>
      <c r="K26" s="2"/>
      <c r="L26" s="2"/>
      <c r="M26" s="12">
        <f>G26</f>
        <v>15000</v>
      </c>
      <c r="N26" s="2"/>
      <c r="P26" s="2"/>
      <c r="Q26" s="12"/>
      <c r="R26" s="2"/>
      <c r="S26" s="2"/>
    </row>
    <row r="27" spans="2:19" x14ac:dyDescent="0.25">
      <c r="B27" s="2"/>
      <c r="C27" s="2" t="s">
        <v>20</v>
      </c>
      <c r="D27" s="2"/>
      <c r="E27" s="2"/>
      <c r="F27" s="12"/>
      <c r="G27" s="12">
        <v>0</v>
      </c>
      <c r="I27" s="2"/>
      <c r="J27" s="2"/>
      <c r="K27" s="12"/>
      <c r="L27" s="2"/>
      <c r="N27" s="2"/>
      <c r="O27" s="12"/>
      <c r="P27" s="2"/>
      <c r="Q27" s="12"/>
      <c r="R27" s="2"/>
      <c r="S27" s="2"/>
    </row>
    <row r="28" spans="2:19" x14ac:dyDescent="0.25">
      <c r="B28" s="2"/>
      <c r="C28" s="2" t="s">
        <v>21</v>
      </c>
      <c r="D28" s="2"/>
      <c r="E28" s="2"/>
      <c r="F28" s="12"/>
      <c r="G28" s="12">
        <f t="shared" si="2"/>
        <v>0</v>
      </c>
      <c r="I28" s="2"/>
      <c r="J28" s="2"/>
      <c r="K28" s="2"/>
      <c r="L28" s="2"/>
      <c r="M28" s="2"/>
      <c r="N28" s="2"/>
      <c r="O28" s="12"/>
      <c r="P28" s="2"/>
      <c r="Q28" s="2"/>
      <c r="R28" s="2"/>
      <c r="S28" s="2"/>
    </row>
    <row r="29" spans="2:19" x14ac:dyDescent="0.25">
      <c r="B29" s="2"/>
      <c r="C29" s="2" t="s">
        <v>22</v>
      </c>
      <c r="D29" s="2"/>
      <c r="E29" s="2"/>
      <c r="F29" s="12"/>
      <c r="G29" s="12">
        <v>0</v>
      </c>
      <c r="I29" s="2"/>
      <c r="J29" s="2"/>
      <c r="L29" s="2"/>
      <c r="M29" s="12"/>
      <c r="N29" s="2"/>
      <c r="O29" s="12"/>
      <c r="P29" s="2"/>
      <c r="Q29" s="2"/>
      <c r="R29" s="2"/>
      <c r="S29" s="2"/>
    </row>
    <row r="30" spans="2:19" x14ac:dyDescent="0.25">
      <c r="B30" s="2"/>
      <c r="C30" s="2" t="s">
        <v>23</v>
      </c>
      <c r="D30" s="2"/>
      <c r="E30" s="2"/>
      <c r="F30" s="12"/>
      <c r="G30" s="12">
        <f t="shared" si="2"/>
        <v>0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spans="2:19" x14ac:dyDescent="0.25">
      <c r="B31" s="2"/>
      <c r="C31" s="2"/>
      <c r="D31" s="2"/>
      <c r="E31" s="2"/>
      <c r="F31" s="2"/>
      <c r="G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spans="2:19" x14ac:dyDescent="0.25">
      <c r="B32" s="4" t="s">
        <v>24</v>
      </c>
      <c r="C32" s="4"/>
      <c r="D32" s="4"/>
      <c r="E32" s="4"/>
      <c r="F32" s="4"/>
      <c r="G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</row>
    <row r="33" spans="2:19" x14ac:dyDescent="0.25">
      <c r="B33" s="2" t="s">
        <v>25</v>
      </c>
      <c r="C33" s="2"/>
      <c r="D33" s="2"/>
      <c r="E33" s="2"/>
      <c r="F33" s="12"/>
      <c r="G33" s="12">
        <f t="shared" ref="G33:G36" si="3">E33*F33</f>
        <v>0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spans="2:19" x14ac:dyDescent="0.25">
      <c r="B34" s="2" t="s">
        <v>26</v>
      </c>
      <c r="C34" s="2"/>
      <c r="D34" s="2"/>
      <c r="E34" s="2"/>
      <c r="F34" s="12"/>
      <c r="G34" s="12">
        <f t="shared" si="3"/>
        <v>0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spans="2:19" x14ac:dyDescent="0.25">
      <c r="B35" s="2" t="s">
        <v>27</v>
      </c>
      <c r="C35" s="2"/>
      <c r="D35" s="2"/>
      <c r="E35" s="2"/>
      <c r="F35" s="12"/>
      <c r="G35" s="12">
        <f t="shared" si="3"/>
        <v>0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spans="2:19" x14ac:dyDescent="0.25">
      <c r="B36" s="2" t="s">
        <v>28</v>
      </c>
      <c r="C36" s="2"/>
      <c r="D36" s="2"/>
      <c r="E36" s="2"/>
      <c r="F36" s="12"/>
      <c r="G36" s="12">
        <f t="shared" si="3"/>
        <v>0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spans="2:19" x14ac:dyDescent="0.25">
      <c r="B37" s="2"/>
      <c r="C37" s="2"/>
      <c r="D37" s="2"/>
      <c r="E37" s="2"/>
      <c r="F37" s="2"/>
      <c r="G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spans="2:19" x14ac:dyDescent="0.25">
      <c r="B38" s="4" t="s">
        <v>29</v>
      </c>
      <c r="C38" s="4"/>
      <c r="D38" s="4"/>
      <c r="E38" s="4"/>
      <c r="F38" s="4"/>
      <c r="G38" s="13">
        <f>(G8+G9+G10+G11+G13+G14+G15+G20+G22+G23+G24+G26+G27+G28+G29+G30)</f>
        <v>90000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</row>
    <row r="39" spans="2:19" x14ac:dyDescent="0.25">
      <c r="B39" s="3" t="s">
        <v>30</v>
      </c>
      <c r="C39" s="3"/>
      <c r="D39" s="3"/>
      <c r="E39" s="3"/>
      <c r="F39" s="3"/>
      <c r="G39" s="14">
        <f>SUM(G7:G36)</f>
        <v>90000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</row>
    <row r="40" spans="2:19" x14ac:dyDescent="0.25">
      <c r="B40" s="2"/>
      <c r="C40" s="2"/>
      <c r="D40" s="2"/>
      <c r="E40" s="2"/>
      <c r="F40" s="2"/>
      <c r="G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spans="2:19" x14ac:dyDescent="0.25">
      <c r="B41" s="4" t="s">
        <v>31</v>
      </c>
      <c r="C41" s="4"/>
      <c r="D41" s="4"/>
      <c r="E41" s="4"/>
      <c r="F41" s="4"/>
      <c r="G41" s="13">
        <f>G38*0.25</f>
        <v>22500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</row>
    <row r="42" spans="2:19" x14ac:dyDescent="0.25">
      <c r="B42" s="2"/>
      <c r="C42" s="2"/>
      <c r="D42" s="2"/>
      <c r="E42" s="2"/>
      <c r="F42" s="2"/>
      <c r="G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spans="2:19" x14ac:dyDescent="0.25">
      <c r="B43" s="3" t="s">
        <v>32</v>
      </c>
      <c r="C43" s="3"/>
      <c r="D43" s="3"/>
      <c r="E43" s="3"/>
      <c r="F43" s="3"/>
      <c r="G43" s="14">
        <f>G41+G39</f>
        <v>112500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</row>
    <row r="45" spans="2:19" ht="15.75" thickBot="1" x14ac:dyDescent="0.3"/>
    <row r="46" spans="2:19" ht="55.5" customHeight="1" thickBot="1" x14ac:dyDescent="0.3">
      <c r="B46" s="22" t="s">
        <v>66</v>
      </c>
      <c r="C46" s="23"/>
      <c r="D46" s="23"/>
      <c r="E46" s="23"/>
      <c r="F46" s="23"/>
      <c r="G46" s="24"/>
    </row>
    <row r="48" spans="2:19" ht="15.75" thickBot="1" x14ac:dyDescent="0.3">
      <c r="B48" s="1" t="s">
        <v>64</v>
      </c>
    </row>
    <row r="49" spans="2:7" ht="108" customHeight="1" thickBot="1" x14ac:dyDescent="0.3">
      <c r="B49" s="20" t="s">
        <v>63</v>
      </c>
      <c r="C49" s="21"/>
      <c r="D49" s="21"/>
      <c r="E49" s="21"/>
      <c r="F49" s="21"/>
      <c r="G49" s="21"/>
    </row>
    <row r="51" spans="2:7" ht="15.75" thickBot="1" x14ac:dyDescent="0.3">
      <c r="B51" s="1" t="s">
        <v>65</v>
      </c>
    </row>
    <row r="52" spans="2:7" ht="85.5" customHeight="1" thickBot="1" x14ac:dyDescent="0.3">
      <c r="B52" s="20" t="s">
        <v>69</v>
      </c>
      <c r="C52" s="21"/>
      <c r="D52" s="21"/>
      <c r="E52" s="21"/>
      <c r="F52" s="21"/>
      <c r="G52" s="21"/>
    </row>
  </sheetData>
  <mergeCells count="3">
    <mergeCell ref="B49:G49"/>
    <mergeCell ref="B52:G52"/>
    <mergeCell ref="B46:G4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 packages</vt:lpstr>
      <vt:lpstr>Budget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Wielgo, Joanna Zofia</dc:creator>
  <cp:lastModifiedBy>Wielgo, Joanna Zofia</cp:lastModifiedBy>
  <dcterms:created xsi:type="dcterms:W3CDTF">2025-07-21T13:52:25Z</dcterms:created>
  <dcterms:modified xsi:type="dcterms:W3CDTF">2025-07-22T15:04:38Z</dcterms:modified>
</cp:coreProperties>
</file>