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114877\Dropbox\H2020\Preparacion proyecto\Budget\"/>
    </mc:Choice>
  </mc:AlternateContent>
  <bookViews>
    <workbookView xWindow="0" yWindow="0" windowWidth="25665" windowHeight="10770"/>
  </bookViews>
  <sheets>
    <sheet name="Hoja1" sheetId="1" r:id="rId1"/>
    <sheet name="Hoja2" sheetId="2" r:id="rId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8" i="1" l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</calcChain>
</file>

<file path=xl/comments1.xml><?xml version="1.0" encoding="utf-8"?>
<comments xmlns="http://schemas.openxmlformats.org/spreadsheetml/2006/main">
  <authors>
    <author>Usuario de Microsoft Office</author>
  </authors>
  <commentList>
    <comment ref="S27" authorId="0" shapeId="0">
      <text>
        <r>
          <rPr>
            <b/>
            <sz val="10"/>
            <color indexed="81"/>
            <rFont val="Calibri"/>
            <family val="2"/>
          </rPr>
          <t>Usuario de Microsoft Office:</t>
        </r>
        <r>
          <rPr>
            <sz val="10"/>
            <color indexed="81"/>
            <rFont val="Calibri"/>
            <family val="2"/>
          </rPr>
          <t xml:space="preserve">
I used wp8 to ensure min of 36 pms to all partners with fieldwork.</t>
        </r>
      </text>
    </comment>
  </commentList>
</comments>
</file>

<file path=xl/sharedStrings.xml><?xml version="1.0" encoding="utf-8"?>
<sst xmlns="http://schemas.openxmlformats.org/spreadsheetml/2006/main" count="79" uniqueCount="44">
  <si>
    <t>Total pm effort by wp</t>
  </si>
  <si>
    <t>concept</t>
  </si>
  <si>
    <t>interviews</t>
  </si>
  <si>
    <t>eu case</t>
  </si>
  <si>
    <t>claims</t>
  </si>
  <si>
    <t>survey</t>
  </si>
  <si>
    <t>experim</t>
  </si>
  <si>
    <t>diss</t>
  </si>
  <si>
    <t>com</t>
  </si>
  <si>
    <t>manag</t>
  </si>
  <si>
    <t>wp1</t>
  </si>
  <si>
    <t>wp2</t>
  </si>
  <si>
    <t>wp3</t>
  </si>
  <si>
    <t>wp4</t>
  </si>
  <si>
    <t>wp5</t>
  </si>
  <si>
    <t>wp6</t>
  </si>
  <si>
    <t>wp7</t>
  </si>
  <si>
    <t>wp8</t>
  </si>
  <si>
    <t>wp9</t>
  </si>
  <si>
    <t>Total</t>
  </si>
  <si>
    <t>UAB</t>
  </si>
  <si>
    <t>Unige</t>
  </si>
  <si>
    <t>Shefield</t>
  </si>
  <si>
    <t>Siegen</t>
  </si>
  <si>
    <t>Salento</t>
  </si>
  <si>
    <t>Bergen</t>
  </si>
  <si>
    <t>Scuola Normale Superiore</t>
  </si>
  <si>
    <t>Leuven</t>
  </si>
  <si>
    <t>Ekke, Athens</t>
  </si>
  <si>
    <t>Charles</t>
  </si>
  <si>
    <t>Lille</t>
  </si>
  <si>
    <t>Warsaw</t>
  </si>
  <si>
    <t>Sofia</t>
  </si>
  <si>
    <t>Eureopan Alternatives</t>
  </si>
  <si>
    <t>Personal</t>
  </si>
  <si>
    <t>PM</t>
  </si>
  <si>
    <t>Budget</t>
  </si>
  <si>
    <t>Total including overheads</t>
  </si>
  <si>
    <t>ip</t>
  </si>
  <si>
    <t>coord</t>
  </si>
  <si>
    <t>exec</t>
  </si>
  <si>
    <t>PI</t>
  </si>
  <si>
    <t>excecution (predoc rate)</t>
  </si>
  <si>
    <t>coordination (postdoc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</si>
</sst>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€_-;\-* #,##0.00\ _€_-;_-* &quot;-&quot;??\ _€_-;_-@_-"/>
    <numFmt numFmtId="165" formatCode="_-* #,##0\ _€_-;\-* #,##0\ _€_-;_-* &quot;-&quot;??\ _€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indexed="81"/>
      <name val="Calibri"/>
      <family val="2"/>
    </font>
    <font>
      <sz val="10"/>
      <color indexed="8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0" xfId="0" applyFill="1" applyBorder="1"/>
    <xf numFmtId="0" fontId="0" fillId="0" borderId="1" xfId="0" applyFill="1" applyBorder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Fill="1"/>
    <xf numFmtId="0" fontId="0" fillId="2" borderId="0" xfId="0" applyFill="1"/>
    <xf numFmtId="0" fontId="0" fillId="2" borderId="1" xfId="0" applyFill="1" applyBorder="1"/>
    <xf numFmtId="0" fontId="0" fillId="0" borderId="0" xfId="0" applyFont="1"/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3" borderId="0" xfId="0" applyFill="1" applyBorder="1"/>
    <xf numFmtId="165" fontId="0" fillId="0" borderId="0" xfId="1" applyNumberFormat="1" applyFont="1"/>
    <xf numFmtId="165" fontId="0" fillId="4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Y42"/>
  <sheetViews>
    <sheetView tabSelected="1" topLeftCell="D1" workbookViewId="0">
      <selection activeCell="U23" sqref="U23"/>
    </sheetView>
  </sheetViews>
  <sheetFormatPr baseColWidth="10" defaultRowHeight="15" x14ac:dyDescent="0.25"/>
  <cols>
    <col min="14" max="14" width="18.28515625" customWidth="1"/>
    <col min="15" max="15" width="14.5703125" bestFit="1" customWidth="1"/>
    <col min="17" max="17" width="14.5703125" bestFit="1" customWidth="1"/>
  </cols>
  <sheetData>
    <row r="5" spans="1:17" x14ac:dyDescent="0.25">
      <c r="D5" t="s">
        <v>35</v>
      </c>
      <c r="Q5" t="s">
        <v>36</v>
      </c>
    </row>
    <row r="6" spans="1:17" x14ac:dyDescent="0.25">
      <c r="B6" t="s">
        <v>0</v>
      </c>
      <c r="D6" t="s">
        <v>1</v>
      </c>
      <c r="E6" t="s">
        <v>2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8</v>
      </c>
      <c r="L6" t="s">
        <v>9</v>
      </c>
    </row>
    <row r="7" spans="1:17" x14ac:dyDescent="0.25">
      <c r="D7" t="s">
        <v>10</v>
      </c>
      <c r="E7" t="s">
        <v>11</v>
      </c>
      <c r="F7" t="s">
        <v>12</v>
      </c>
      <c r="G7" t="s">
        <v>13</v>
      </c>
      <c r="H7" t="s">
        <v>14</v>
      </c>
      <c r="I7" t="s">
        <v>15</v>
      </c>
      <c r="J7" t="s">
        <v>16</v>
      </c>
      <c r="K7" t="s">
        <v>17</v>
      </c>
      <c r="L7" t="s">
        <v>18</v>
      </c>
      <c r="M7" t="s">
        <v>19</v>
      </c>
      <c r="O7" t="s">
        <v>34</v>
      </c>
      <c r="Q7" t="s">
        <v>37</v>
      </c>
    </row>
    <row r="8" spans="1:17" x14ac:dyDescent="0.25">
      <c r="A8">
        <v>1</v>
      </c>
      <c r="B8" t="s">
        <v>20</v>
      </c>
      <c r="D8">
        <v>1.5</v>
      </c>
      <c r="E8">
        <v>7</v>
      </c>
      <c r="F8">
        <v>1.5</v>
      </c>
      <c r="G8">
        <v>8.5</v>
      </c>
      <c r="H8">
        <v>2</v>
      </c>
      <c r="I8">
        <v>7</v>
      </c>
      <c r="J8">
        <v>10</v>
      </c>
      <c r="K8">
        <v>8</v>
      </c>
      <c r="L8">
        <v>22</v>
      </c>
      <c r="M8">
        <v>67.5</v>
      </c>
      <c r="O8" s="14">
        <v>229950</v>
      </c>
      <c r="P8" s="13"/>
      <c r="Q8" s="14">
        <v>375687.5</v>
      </c>
    </row>
    <row r="9" spans="1:17" x14ac:dyDescent="0.25">
      <c r="A9">
        <v>2</v>
      </c>
      <c r="B9" t="s">
        <v>21</v>
      </c>
      <c r="D9">
        <v>0.5</v>
      </c>
      <c r="E9">
        <v>6</v>
      </c>
      <c r="F9">
        <v>0</v>
      </c>
      <c r="G9">
        <v>11.5</v>
      </c>
      <c r="H9">
        <v>1</v>
      </c>
      <c r="I9">
        <v>0</v>
      </c>
      <c r="J9">
        <v>7</v>
      </c>
      <c r="K9">
        <v>3</v>
      </c>
      <c r="L9">
        <v>2</v>
      </c>
      <c r="M9">
        <v>31</v>
      </c>
      <c r="O9" s="14">
        <v>200855.19999999998</v>
      </c>
      <c r="P9" s="13"/>
      <c r="Q9" s="14">
        <v>288444</v>
      </c>
    </row>
    <row r="10" spans="1:17" x14ac:dyDescent="0.25">
      <c r="A10">
        <v>3</v>
      </c>
      <c r="B10" t="s">
        <v>22</v>
      </c>
      <c r="D10">
        <v>0.5</v>
      </c>
      <c r="E10">
        <v>6</v>
      </c>
      <c r="F10">
        <v>0.5</v>
      </c>
      <c r="G10">
        <v>7.5</v>
      </c>
      <c r="H10">
        <v>5</v>
      </c>
      <c r="I10">
        <v>0</v>
      </c>
      <c r="J10">
        <v>7</v>
      </c>
      <c r="K10">
        <v>3</v>
      </c>
      <c r="L10">
        <v>3</v>
      </c>
      <c r="M10">
        <v>32.5</v>
      </c>
      <c r="O10" s="14">
        <v>132692</v>
      </c>
      <c r="P10" s="13"/>
      <c r="Q10" s="14">
        <v>379490</v>
      </c>
    </row>
    <row r="11" spans="1:17" x14ac:dyDescent="0.25">
      <c r="A11">
        <v>4</v>
      </c>
      <c r="B11" t="s">
        <v>23</v>
      </c>
      <c r="D11">
        <v>0.5</v>
      </c>
      <c r="E11">
        <v>10</v>
      </c>
      <c r="F11">
        <v>0</v>
      </c>
      <c r="G11">
        <v>7.5</v>
      </c>
      <c r="H11">
        <v>1</v>
      </c>
      <c r="I11">
        <v>0</v>
      </c>
      <c r="J11">
        <v>7</v>
      </c>
      <c r="K11">
        <v>3</v>
      </c>
      <c r="L11">
        <v>3</v>
      </c>
      <c r="M11">
        <v>32</v>
      </c>
      <c r="O11" s="14">
        <v>177000</v>
      </c>
      <c r="P11" s="13"/>
      <c r="Q11" s="14">
        <v>258625</v>
      </c>
    </row>
    <row r="12" spans="1:17" x14ac:dyDescent="0.25">
      <c r="A12">
        <v>5</v>
      </c>
      <c r="B12" t="s">
        <v>24</v>
      </c>
      <c r="D12">
        <v>8</v>
      </c>
      <c r="E12">
        <v>6</v>
      </c>
      <c r="F12">
        <v>0</v>
      </c>
      <c r="G12">
        <v>7.5</v>
      </c>
      <c r="H12">
        <v>1</v>
      </c>
      <c r="I12">
        <v>0</v>
      </c>
      <c r="J12">
        <v>5</v>
      </c>
      <c r="K12">
        <v>3</v>
      </c>
      <c r="L12">
        <v>3</v>
      </c>
      <c r="M12">
        <v>33.5</v>
      </c>
      <c r="O12" s="14">
        <v>87927.666666666672</v>
      </c>
      <c r="P12" s="13"/>
      <c r="Q12" s="14">
        <v>143534.58333333334</v>
      </c>
    </row>
    <row r="13" spans="1:17" x14ac:dyDescent="0.25">
      <c r="A13">
        <v>6</v>
      </c>
      <c r="B13" t="s">
        <v>25</v>
      </c>
      <c r="D13">
        <v>0.5</v>
      </c>
      <c r="E13">
        <v>6</v>
      </c>
      <c r="F13">
        <v>0</v>
      </c>
      <c r="G13">
        <v>7.5</v>
      </c>
      <c r="H13">
        <v>1</v>
      </c>
      <c r="I13">
        <v>2</v>
      </c>
      <c r="J13">
        <v>5</v>
      </c>
      <c r="K13">
        <v>3</v>
      </c>
      <c r="L13">
        <v>2</v>
      </c>
      <c r="M13">
        <v>27</v>
      </c>
      <c r="O13" s="14">
        <v>170834</v>
      </c>
      <c r="P13" s="13"/>
      <c r="Q13" s="14">
        <v>297167.5</v>
      </c>
    </row>
    <row r="14" spans="1:17" x14ac:dyDescent="0.25">
      <c r="A14">
        <v>7</v>
      </c>
      <c r="B14" t="s">
        <v>26</v>
      </c>
      <c r="D14">
        <v>2.5</v>
      </c>
      <c r="E14">
        <v>1</v>
      </c>
      <c r="F14">
        <v>11</v>
      </c>
      <c r="G14">
        <v>0</v>
      </c>
      <c r="H14">
        <v>0</v>
      </c>
      <c r="I14">
        <v>0</v>
      </c>
      <c r="J14">
        <v>7</v>
      </c>
      <c r="K14">
        <v>5</v>
      </c>
      <c r="L14">
        <v>2</v>
      </c>
      <c r="M14">
        <v>28.5</v>
      </c>
      <c r="O14" s="14">
        <v>94375</v>
      </c>
      <c r="P14" s="13"/>
      <c r="Q14" s="14">
        <v>170343.75</v>
      </c>
    </row>
    <row r="15" spans="1:17" x14ac:dyDescent="0.25">
      <c r="A15">
        <v>8</v>
      </c>
      <c r="B15" t="s">
        <v>27</v>
      </c>
      <c r="D15">
        <v>0.5</v>
      </c>
      <c r="E15">
        <v>6</v>
      </c>
      <c r="F15">
        <v>0.5</v>
      </c>
      <c r="G15">
        <v>7.5</v>
      </c>
      <c r="H15">
        <v>1</v>
      </c>
      <c r="I15">
        <v>6</v>
      </c>
      <c r="J15">
        <v>6</v>
      </c>
      <c r="K15">
        <v>3</v>
      </c>
      <c r="L15">
        <v>3</v>
      </c>
      <c r="M15">
        <v>33.5</v>
      </c>
      <c r="O15" s="14">
        <v>153200</v>
      </c>
      <c r="P15" s="13"/>
      <c r="Q15" s="14">
        <v>250750</v>
      </c>
    </row>
    <row r="16" spans="1:17" x14ac:dyDescent="0.25">
      <c r="A16">
        <v>9</v>
      </c>
      <c r="B16" t="s">
        <v>28</v>
      </c>
      <c r="D16">
        <v>0.5</v>
      </c>
      <c r="E16">
        <v>6</v>
      </c>
      <c r="F16">
        <v>0.5</v>
      </c>
      <c r="G16">
        <v>7.5</v>
      </c>
      <c r="H16">
        <v>1</v>
      </c>
      <c r="I16">
        <v>1</v>
      </c>
      <c r="J16">
        <v>7</v>
      </c>
      <c r="K16">
        <v>3</v>
      </c>
      <c r="L16">
        <v>4</v>
      </c>
      <c r="M16">
        <v>30.5</v>
      </c>
      <c r="O16" s="14">
        <v>70466</v>
      </c>
      <c r="P16" s="13"/>
      <c r="Q16" s="14">
        <v>130082.5</v>
      </c>
    </row>
    <row r="17" spans="1:25" x14ac:dyDescent="0.25">
      <c r="A17">
        <v>10</v>
      </c>
      <c r="B17" t="s">
        <v>29</v>
      </c>
      <c r="D17">
        <v>1.5</v>
      </c>
      <c r="E17">
        <v>6</v>
      </c>
      <c r="F17">
        <v>0.5</v>
      </c>
      <c r="G17">
        <v>7.5</v>
      </c>
      <c r="H17">
        <v>1</v>
      </c>
      <c r="I17">
        <v>0</v>
      </c>
      <c r="J17">
        <v>6</v>
      </c>
      <c r="K17">
        <v>3</v>
      </c>
      <c r="L17">
        <v>4</v>
      </c>
      <c r="M17">
        <v>29.5</v>
      </c>
      <c r="O17" s="14">
        <v>110625</v>
      </c>
      <c r="P17" s="13"/>
      <c r="Q17" s="14">
        <v>177531.25</v>
      </c>
    </row>
    <row r="18" spans="1:25" x14ac:dyDescent="0.25">
      <c r="A18">
        <v>11</v>
      </c>
      <c r="B18" t="s">
        <v>30</v>
      </c>
      <c r="D18">
        <v>0.5</v>
      </c>
      <c r="E18">
        <v>6</v>
      </c>
      <c r="F18">
        <v>0.5</v>
      </c>
      <c r="G18">
        <v>9.5</v>
      </c>
      <c r="H18">
        <v>1</v>
      </c>
      <c r="I18">
        <v>0</v>
      </c>
      <c r="J18">
        <v>6</v>
      </c>
      <c r="K18">
        <v>3</v>
      </c>
      <c r="L18">
        <v>4</v>
      </c>
      <c r="M18">
        <v>30.5</v>
      </c>
      <c r="O18" s="14">
        <v>106993</v>
      </c>
      <c r="P18" s="13"/>
      <c r="Q18" s="14">
        <v>172991.25</v>
      </c>
    </row>
    <row r="19" spans="1:25" x14ac:dyDescent="0.25">
      <c r="A19">
        <v>12</v>
      </c>
      <c r="B19" t="s">
        <v>31</v>
      </c>
      <c r="D19">
        <v>1.5</v>
      </c>
      <c r="E19">
        <v>6</v>
      </c>
      <c r="F19">
        <v>0.5</v>
      </c>
      <c r="G19">
        <v>7.5</v>
      </c>
      <c r="H19">
        <v>1</v>
      </c>
      <c r="I19">
        <v>0</v>
      </c>
      <c r="J19">
        <v>6</v>
      </c>
      <c r="K19">
        <v>3</v>
      </c>
      <c r="L19">
        <v>4</v>
      </c>
      <c r="M19">
        <v>29.5</v>
      </c>
      <c r="O19" s="14">
        <v>59500</v>
      </c>
      <c r="P19" s="13"/>
      <c r="Q19" s="14">
        <v>113625</v>
      </c>
    </row>
    <row r="20" spans="1:25" x14ac:dyDescent="0.25">
      <c r="A20">
        <v>13</v>
      </c>
      <c r="B20" t="s">
        <v>32</v>
      </c>
      <c r="D20">
        <v>0.5</v>
      </c>
      <c r="E20">
        <v>6</v>
      </c>
      <c r="F20">
        <v>0.5</v>
      </c>
      <c r="G20">
        <v>7.5</v>
      </c>
      <c r="H20">
        <v>2</v>
      </c>
      <c r="I20">
        <v>0</v>
      </c>
      <c r="J20">
        <v>6</v>
      </c>
      <c r="K20">
        <v>3</v>
      </c>
      <c r="L20">
        <v>4</v>
      </c>
      <c r="M20">
        <v>29.5</v>
      </c>
      <c r="O20" s="14">
        <v>82333.333333333328</v>
      </c>
      <c r="P20" s="13"/>
      <c r="Q20" s="14">
        <v>144916.66666666666</v>
      </c>
    </row>
    <row r="21" spans="1:25" x14ac:dyDescent="0.25">
      <c r="A21">
        <v>14</v>
      </c>
      <c r="B21" t="s">
        <v>33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  <c r="K21">
        <v>6</v>
      </c>
      <c r="L21">
        <v>3</v>
      </c>
      <c r="M21">
        <v>12</v>
      </c>
      <c r="O21" s="14">
        <v>57600</v>
      </c>
      <c r="P21" s="13"/>
      <c r="Q21" s="14">
        <v>94375</v>
      </c>
    </row>
    <row r="22" spans="1:25" x14ac:dyDescent="0.25">
      <c r="B22" t="s">
        <v>19</v>
      </c>
      <c r="D22">
        <v>19</v>
      </c>
      <c r="E22">
        <v>78</v>
      </c>
      <c r="F22">
        <v>16</v>
      </c>
      <c r="G22">
        <v>97</v>
      </c>
      <c r="H22">
        <v>18</v>
      </c>
      <c r="I22">
        <v>16</v>
      </c>
      <c r="J22">
        <v>88</v>
      </c>
      <c r="K22">
        <v>52</v>
      </c>
      <c r="L22">
        <v>63</v>
      </c>
      <c r="M22">
        <v>447</v>
      </c>
      <c r="O22" s="14">
        <v>1734351.2</v>
      </c>
      <c r="P22" s="13"/>
      <c r="Q22" s="14">
        <v>2997563.9999999995</v>
      </c>
    </row>
    <row r="26" spans="1:25" x14ac:dyDescent="0.25">
      <c r="C26" t="s">
        <v>41</v>
      </c>
      <c r="D26" t="s">
        <v>43</v>
      </c>
      <c r="M26" t="s">
        <v>42</v>
      </c>
    </row>
    <row r="27" spans="1:25" x14ac:dyDescent="0.25">
      <c r="C27" s="1"/>
      <c r="D27" t="s">
        <v>10</v>
      </c>
      <c r="E27" t="s">
        <v>11</v>
      </c>
      <c r="F27" t="s">
        <v>12</v>
      </c>
      <c r="G27" t="s">
        <v>13</v>
      </c>
      <c r="H27" t="s">
        <v>14</v>
      </c>
      <c r="I27" t="s">
        <v>15</v>
      </c>
      <c r="J27" t="s">
        <v>16</v>
      </c>
      <c r="K27" t="s">
        <v>17</v>
      </c>
      <c r="L27" s="1" t="s">
        <v>18</v>
      </c>
      <c r="M27" t="s">
        <v>10</v>
      </c>
      <c r="N27" t="s">
        <v>11</v>
      </c>
      <c r="O27" t="s">
        <v>12</v>
      </c>
      <c r="P27" t="s">
        <v>13</v>
      </c>
      <c r="Q27" t="s">
        <v>14</v>
      </c>
      <c r="R27" t="s">
        <v>15</v>
      </c>
      <c r="S27" t="s">
        <v>16</v>
      </c>
      <c r="T27" t="s">
        <v>17</v>
      </c>
      <c r="U27" s="1" t="s">
        <v>18</v>
      </c>
      <c r="V27" s="2" t="s">
        <v>38</v>
      </c>
      <c r="W27" s="2" t="s">
        <v>39</v>
      </c>
      <c r="X27" s="3" t="s">
        <v>40</v>
      </c>
      <c r="Y27" s="3" t="s">
        <v>19</v>
      </c>
    </row>
    <row r="28" spans="1:25" ht="15.75" x14ac:dyDescent="0.25">
      <c r="A28">
        <v>1</v>
      </c>
      <c r="B28" s="4" t="s">
        <v>20</v>
      </c>
      <c r="C28" s="5">
        <v>3</v>
      </c>
      <c r="D28" s="6">
        <v>1</v>
      </c>
      <c r="E28">
        <v>1</v>
      </c>
      <c r="F28">
        <v>1</v>
      </c>
      <c r="G28">
        <v>1</v>
      </c>
      <c r="H28">
        <v>1</v>
      </c>
      <c r="I28">
        <v>4</v>
      </c>
      <c r="J28" s="7">
        <v>6</v>
      </c>
      <c r="K28" s="7">
        <v>6</v>
      </c>
      <c r="L28" s="8">
        <v>18</v>
      </c>
      <c r="M28">
        <v>0.5</v>
      </c>
      <c r="N28">
        <v>6</v>
      </c>
      <c r="O28">
        <v>0.5</v>
      </c>
      <c r="P28">
        <v>7.5</v>
      </c>
      <c r="Q28">
        <v>1</v>
      </c>
      <c r="R28">
        <v>3</v>
      </c>
      <c r="S28">
        <v>4</v>
      </c>
      <c r="T28">
        <v>2</v>
      </c>
      <c r="U28" s="1">
        <v>1</v>
      </c>
      <c r="V28">
        <f t="shared" ref="V28:V41" si="0">SUM(C28)</f>
        <v>3</v>
      </c>
      <c r="W28">
        <f t="shared" ref="W28:W41" si="1">SUM(D28:L28)</f>
        <v>39</v>
      </c>
      <c r="X28" s="1">
        <f t="shared" ref="X28:X41" si="2">SUM(M28:U28)</f>
        <v>25.5</v>
      </c>
      <c r="Y28" s="1">
        <f t="shared" ref="Y28:Y41" si="3">SUM(C28:U28)</f>
        <v>67.5</v>
      </c>
    </row>
    <row r="29" spans="1:25" ht="15.75" x14ac:dyDescent="0.25">
      <c r="A29">
        <v>2</v>
      </c>
      <c r="B29" s="4" t="s">
        <v>21</v>
      </c>
      <c r="C29" s="5">
        <v>1</v>
      </c>
      <c r="G29" s="7">
        <v>4</v>
      </c>
      <c r="J29">
        <v>3</v>
      </c>
      <c r="K29">
        <v>1</v>
      </c>
      <c r="L29" s="1"/>
      <c r="M29">
        <v>0.5</v>
      </c>
      <c r="N29">
        <v>6</v>
      </c>
      <c r="P29">
        <v>7.5</v>
      </c>
      <c r="Q29">
        <v>1</v>
      </c>
      <c r="S29">
        <v>4</v>
      </c>
      <c r="T29">
        <v>2</v>
      </c>
      <c r="U29" s="1">
        <v>1</v>
      </c>
      <c r="V29">
        <f t="shared" si="0"/>
        <v>1</v>
      </c>
      <c r="W29">
        <f t="shared" si="1"/>
        <v>8</v>
      </c>
      <c r="X29" s="1">
        <f t="shared" si="2"/>
        <v>22</v>
      </c>
      <c r="Y29" s="1">
        <f t="shared" si="3"/>
        <v>31</v>
      </c>
    </row>
    <row r="30" spans="1:25" ht="15.75" x14ac:dyDescent="0.25">
      <c r="A30">
        <v>3</v>
      </c>
      <c r="B30" s="4" t="s">
        <v>22</v>
      </c>
      <c r="C30" s="5">
        <v>2</v>
      </c>
      <c r="H30" s="7">
        <v>4</v>
      </c>
      <c r="J30">
        <v>3</v>
      </c>
      <c r="K30">
        <v>1</v>
      </c>
      <c r="L30" s="1"/>
      <c r="M30">
        <v>0.5</v>
      </c>
      <c r="N30">
        <v>6</v>
      </c>
      <c r="O30">
        <v>0.5</v>
      </c>
      <c r="P30">
        <v>7.5</v>
      </c>
      <c r="Q30">
        <v>1</v>
      </c>
      <c r="S30">
        <v>4</v>
      </c>
      <c r="T30">
        <v>2</v>
      </c>
      <c r="U30" s="1">
        <v>1</v>
      </c>
      <c r="V30">
        <f t="shared" si="0"/>
        <v>2</v>
      </c>
      <c r="W30">
        <f t="shared" si="1"/>
        <v>8</v>
      </c>
      <c r="X30" s="1">
        <f t="shared" si="2"/>
        <v>22.5</v>
      </c>
      <c r="Y30" s="1">
        <f t="shared" si="3"/>
        <v>32.5</v>
      </c>
    </row>
    <row r="31" spans="1:25" ht="15.75" x14ac:dyDescent="0.25">
      <c r="A31">
        <v>4</v>
      </c>
      <c r="B31" s="4" t="s">
        <v>23</v>
      </c>
      <c r="C31" s="5">
        <v>2</v>
      </c>
      <c r="E31" s="7">
        <v>4</v>
      </c>
      <c r="J31">
        <v>3</v>
      </c>
      <c r="K31">
        <v>1</v>
      </c>
      <c r="L31" s="1"/>
      <c r="M31">
        <v>0.5</v>
      </c>
      <c r="N31">
        <v>6</v>
      </c>
      <c r="P31">
        <v>7.5</v>
      </c>
      <c r="Q31">
        <v>1</v>
      </c>
      <c r="S31">
        <v>4</v>
      </c>
      <c r="T31">
        <v>2</v>
      </c>
      <c r="U31" s="1">
        <v>1</v>
      </c>
      <c r="V31">
        <f t="shared" si="0"/>
        <v>2</v>
      </c>
      <c r="W31">
        <f t="shared" si="1"/>
        <v>8</v>
      </c>
      <c r="X31" s="1">
        <f t="shared" si="2"/>
        <v>22</v>
      </c>
      <c r="Y31" s="1">
        <f t="shared" si="3"/>
        <v>32</v>
      </c>
    </row>
    <row r="32" spans="1:25" ht="15.75" x14ac:dyDescent="0.25">
      <c r="A32">
        <v>5</v>
      </c>
      <c r="B32" s="4" t="s">
        <v>24</v>
      </c>
      <c r="C32" s="5">
        <v>2</v>
      </c>
      <c r="D32" s="7">
        <v>3</v>
      </c>
      <c r="J32">
        <v>1</v>
      </c>
      <c r="K32">
        <v>1</v>
      </c>
      <c r="L32" s="1"/>
      <c r="M32">
        <v>5</v>
      </c>
      <c r="N32">
        <v>6</v>
      </c>
      <c r="P32">
        <v>7.5</v>
      </c>
      <c r="Q32">
        <v>1</v>
      </c>
      <c r="S32">
        <v>4</v>
      </c>
      <c r="T32">
        <v>2</v>
      </c>
      <c r="U32" s="1">
        <v>1</v>
      </c>
      <c r="V32">
        <f t="shared" si="0"/>
        <v>2</v>
      </c>
      <c r="W32">
        <f t="shared" si="1"/>
        <v>5</v>
      </c>
      <c r="X32" s="1">
        <f t="shared" si="2"/>
        <v>26.5</v>
      </c>
      <c r="Y32" s="1">
        <f t="shared" si="3"/>
        <v>33.5</v>
      </c>
    </row>
    <row r="33" spans="1:25" ht="15.75" x14ac:dyDescent="0.25">
      <c r="A33" s="9">
        <v>6</v>
      </c>
      <c r="B33" s="10" t="s">
        <v>25</v>
      </c>
      <c r="C33" s="5">
        <v>1</v>
      </c>
      <c r="I33" s="7">
        <v>1</v>
      </c>
      <c r="J33">
        <v>1</v>
      </c>
      <c r="K33">
        <v>1</v>
      </c>
      <c r="L33" s="1"/>
      <c r="M33">
        <v>0.5</v>
      </c>
      <c r="N33">
        <v>6</v>
      </c>
      <c r="P33">
        <v>7.5</v>
      </c>
      <c r="Q33">
        <v>1</v>
      </c>
      <c r="R33">
        <v>1</v>
      </c>
      <c r="S33">
        <v>4</v>
      </c>
      <c r="T33">
        <v>2</v>
      </c>
      <c r="U33" s="1">
        <v>1</v>
      </c>
      <c r="V33">
        <f t="shared" si="0"/>
        <v>1</v>
      </c>
      <c r="W33">
        <f t="shared" si="1"/>
        <v>3</v>
      </c>
      <c r="X33" s="1">
        <f t="shared" si="2"/>
        <v>23</v>
      </c>
      <c r="Y33" s="1">
        <f t="shared" si="3"/>
        <v>27</v>
      </c>
    </row>
    <row r="34" spans="1:25" ht="15.75" x14ac:dyDescent="0.25">
      <c r="A34" s="9">
        <v>7</v>
      </c>
      <c r="B34" s="10" t="s">
        <v>26</v>
      </c>
      <c r="C34" s="5">
        <v>1</v>
      </c>
      <c r="D34">
        <v>2</v>
      </c>
      <c r="E34">
        <v>1</v>
      </c>
      <c r="F34" s="7">
        <v>4</v>
      </c>
      <c r="J34">
        <v>3</v>
      </c>
      <c r="K34">
        <v>3</v>
      </c>
      <c r="L34" s="1"/>
      <c r="M34" s="2">
        <v>0.5</v>
      </c>
      <c r="O34">
        <v>7</v>
      </c>
      <c r="S34">
        <v>4</v>
      </c>
      <c r="T34">
        <v>2</v>
      </c>
      <c r="U34" s="1">
        <v>1</v>
      </c>
      <c r="V34">
        <f t="shared" si="0"/>
        <v>1</v>
      </c>
      <c r="W34">
        <f t="shared" si="1"/>
        <v>13</v>
      </c>
      <c r="X34" s="1">
        <f t="shared" si="2"/>
        <v>14.5</v>
      </c>
      <c r="Y34" s="1">
        <f t="shared" si="3"/>
        <v>28.5</v>
      </c>
    </row>
    <row r="35" spans="1:25" ht="15.75" x14ac:dyDescent="0.25">
      <c r="A35" s="9">
        <v>8</v>
      </c>
      <c r="B35" s="10" t="s">
        <v>27</v>
      </c>
      <c r="C35" s="5">
        <v>2</v>
      </c>
      <c r="I35">
        <v>3</v>
      </c>
      <c r="J35">
        <v>2</v>
      </c>
      <c r="K35">
        <v>1</v>
      </c>
      <c r="L35" s="1"/>
      <c r="M35" s="2">
        <v>0.5</v>
      </c>
      <c r="N35">
        <v>6</v>
      </c>
      <c r="O35">
        <v>0.5</v>
      </c>
      <c r="P35">
        <v>7.5</v>
      </c>
      <c r="Q35">
        <v>1</v>
      </c>
      <c r="R35">
        <v>3</v>
      </c>
      <c r="S35">
        <v>4</v>
      </c>
      <c r="T35">
        <v>2</v>
      </c>
      <c r="U35" s="1">
        <v>1</v>
      </c>
      <c r="V35">
        <f t="shared" si="0"/>
        <v>2</v>
      </c>
      <c r="W35">
        <f t="shared" si="1"/>
        <v>6</v>
      </c>
      <c r="X35" s="1">
        <f t="shared" si="2"/>
        <v>25.5</v>
      </c>
      <c r="Y35" s="1">
        <f t="shared" si="3"/>
        <v>33.5</v>
      </c>
    </row>
    <row r="36" spans="1:25" ht="15.75" x14ac:dyDescent="0.25">
      <c r="A36">
        <v>9</v>
      </c>
      <c r="B36" s="4" t="s">
        <v>28</v>
      </c>
      <c r="C36" s="5">
        <v>2</v>
      </c>
      <c r="I36">
        <v>1</v>
      </c>
      <c r="J36">
        <v>3</v>
      </c>
      <c r="K36">
        <v>1</v>
      </c>
      <c r="L36" s="1">
        <v>1</v>
      </c>
      <c r="M36" s="2">
        <v>0.5</v>
      </c>
      <c r="N36">
        <v>6</v>
      </c>
      <c r="O36">
        <v>0.5</v>
      </c>
      <c r="P36">
        <v>7.5</v>
      </c>
      <c r="Q36">
        <v>1</v>
      </c>
      <c r="S36">
        <v>4</v>
      </c>
      <c r="T36">
        <v>2</v>
      </c>
      <c r="U36" s="1">
        <v>1</v>
      </c>
      <c r="V36">
        <f t="shared" si="0"/>
        <v>2</v>
      </c>
      <c r="W36">
        <f t="shared" si="1"/>
        <v>6</v>
      </c>
      <c r="X36" s="1">
        <f t="shared" si="2"/>
        <v>22.5</v>
      </c>
      <c r="Y36" s="1">
        <f t="shared" si="3"/>
        <v>30.5</v>
      </c>
    </row>
    <row r="37" spans="1:25" ht="15.75" x14ac:dyDescent="0.25">
      <c r="A37">
        <v>10</v>
      </c>
      <c r="B37" s="4" t="s">
        <v>29</v>
      </c>
      <c r="C37" s="5">
        <v>2</v>
      </c>
      <c r="D37">
        <v>1</v>
      </c>
      <c r="J37">
        <v>2</v>
      </c>
      <c r="K37">
        <v>1</v>
      </c>
      <c r="L37" s="1">
        <v>1</v>
      </c>
      <c r="M37" s="2">
        <v>0.5</v>
      </c>
      <c r="N37">
        <v>6</v>
      </c>
      <c r="O37">
        <v>0.5</v>
      </c>
      <c r="P37">
        <v>7.5</v>
      </c>
      <c r="Q37">
        <v>1</v>
      </c>
      <c r="S37">
        <v>4</v>
      </c>
      <c r="T37">
        <v>2</v>
      </c>
      <c r="U37" s="1">
        <v>1</v>
      </c>
      <c r="V37">
        <f t="shared" si="0"/>
        <v>2</v>
      </c>
      <c r="W37">
        <f t="shared" si="1"/>
        <v>5</v>
      </c>
      <c r="X37" s="1">
        <f t="shared" si="2"/>
        <v>22.5</v>
      </c>
      <c r="Y37" s="1">
        <f t="shared" si="3"/>
        <v>29.5</v>
      </c>
    </row>
    <row r="38" spans="1:25" ht="15.75" x14ac:dyDescent="0.25">
      <c r="A38">
        <v>11</v>
      </c>
      <c r="B38" s="4" t="s">
        <v>30</v>
      </c>
      <c r="C38" s="5">
        <v>2</v>
      </c>
      <c r="G38">
        <v>2</v>
      </c>
      <c r="J38">
        <v>2</v>
      </c>
      <c r="K38">
        <v>1</v>
      </c>
      <c r="L38" s="1">
        <v>1</v>
      </c>
      <c r="M38" s="2">
        <v>0.5</v>
      </c>
      <c r="N38">
        <v>6</v>
      </c>
      <c r="O38">
        <v>0.5</v>
      </c>
      <c r="P38">
        <v>7.5</v>
      </c>
      <c r="Q38">
        <v>1</v>
      </c>
      <c r="S38">
        <v>4</v>
      </c>
      <c r="T38">
        <v>2</v>
      </c>
      <c r="U38" s="1">
        <v>1</v>
      </c>
      <c r="V38">
        <f t="shared" si="0"/>
        <v>2</v>
      </c>
      <c r="W38">
        <f t="shared" si="1"/>
        <v>6</v>
      </c>
      <c r="X38" s="1">
        <f t="shared" si="2"/>
        <v>22.5</v>
      </c>
      <c r="Y38" s="1">
        <f t="shared" si="3"/>
        <v>30.5</v>
      </c>
    </row>
    <row r="39" spans="1:25" ht="15.75" x14ac:dyDescent="0.25">
      <c r="A39">
        <v>12</v>
      </c>
      <c r="B39" s="4" t="s">
        <v>31</v>
      </c>
      <c r="C39" s="5">
        <v>2</v>
      </c>
      <c r="D39">
        <v>1</v>
      </c>
      <c r="J39">
        <v>2</v>
      </c>
      <c r="K39">
        <v>1</v>
      </c>
      <c r="L39" s="1">
        <v>1</v>
      </c>
      <c r="M39" s="2">
        <v>0.5</v>
      </c>
      <c r="N39">
        <v>6</v>
      </c>
      <c r="O39">
        <v>0.5</v>
      </c>
      <c r="P39">
        <v>7.5</v>
      </c>
      <c r="Q39">
        <v>1</v>
      </c>
      <c r="S39">
        <v>4</v>
      </c>
      <c r="T39">
        <v>2</v>
      </c>
      <c r="U39" s="1">
        <v>1</v>
      </c>
      <c r="V39">
        <f t="shared" si="0"/>
        <v>2</v>
      </c>
      <c r="W39">
        <f t="shared" si="1"/>
        <v>5</v>
      </c>
      <c r="X39" s="1">
        <f t="shared" si="2"/>
        <v>22.5</v>
      </c>
      <c r="Y39" s="1">
        <f t="shared" si="3"/>
        <v>29.5</v>
      </c>
    </row>
    <row r="40" spans="1:25" ht="15.75" x14ac:dyDescent="0.25">
      <c r="A40">
        <v>13</v>
      </c>
      <c r="B40" s="4" t="s">
        <v>32</v>
      </c>
      <c r="C40" s="5">
        <v>2</v>
      </c>
      <c r="H40">
        <v>1</v>
      </c>
      <c r="J40">
        <v>2</v>
      </c>
      <c r="K40">
        <v>1</v>
      </c>
      <c r="L40" s="1">
        <v>1</v>
      </c>
      <c r="M40" s="2">
        <v>0.5</v>
      </c>
      <c r="N40">
        <v>6</v>
      </c>
      <c r="P40">
        <v>7.5</v>
      </c>
      <c r="Q40">
        <v>1</v>
      </c>
      <c r="S40">
        <v>4</v>
      </c>
      <c r="T40">
        <v>2</v>
      </c>
      <c r="U40" s="1">
        <v>1</v>
      </c>
      <c r="V40">
        <f t="shared" si="0"/>
        <v>2</v>
      </c>
      <c r="W40">
        <f t="shared" si="1"/>
        <v>5</v>
      </c>
      <c r="X40" s="1">
        <f t="shared" si="2"/>
        <v>22</v>
      </c>
      <c r="Y40" s="1">
        <f t="shared" si="3"/>
        <v>29</v>
      </c>
    </row>
    <row r="41" spans="1:25" ht="15.75" x14ac:dyDescent="0.25">
      <c r="A41">
        <v>14</v>
      </c>
      <c r="B41" s="4" t="s">
        <v>33</v>
      </c>
      <c r="C41" s="5">
        <v>2</v>
      </c>
      <c r="J41">
        <v>3</v>
      </c>
      <c r="K41">
        <v>6</v>
      </c>
      <c r="L41" s="1">
        <v>1</v>
      </c>
      <c r="M41" s="2"/>
      <c r="U41" s="1"/>
      <c r="V41">
        <f t="shared" si="0"/>
        <v>2</v>
      </c>
      <c r="W41">
        <f t="shared" si="1"/>
        <v>10</v>
      </c>
      <c r="X41" s="1">
        <f t="shared" si="2"/>
        <v>0</v>
      </c>
      <c r="Y41" s="1">
        <f t="shared" si="3"/>
        <v>12</v>
      </c>
    </row>
    <row r="42" spans="1:25" ht="15.75" x14ac:dyDescent="0.25">
      <c r="B42" s="11" t="s">
        <v>19</v>
      </c>
      <c r="C42" s="5">
        <f t="shared" ref="C42:Y42" si="4">SUM(C28:C41)</f>
        <v>26</v>
      </c>
      <c r="D42">
        <f t="shared" si="4"/>
        <v>8</v>
      </c>
      <c r="E42">
        <f t="shared" si="4"/>
        <v>6</v>
      </c>
      <c r="F42">
        <f>SUM(F28:F41)</f>
        <v>5</v>
      </c>
      <c r="G42">
        <f t="shared" si="4"/>
        <v>7</v>
      </c>
      <c r="H42">
        <f t="shared" si="4"/>
        <v>6</v>
      </c>
      <c r="I42">
        <f t="shared" si="4"/>
        <v>9</v>
      </c>
      <c r="J42">
        <f t="shared" si="4"/>
        <v>36</v>
      </c>
      <c r="K42">
        <f>SUM(K28:K41)</f>
        <v>26</v>
      </c>
      <c r="L42" s="1">
        <f t="shared" si="4"/>
        <v>24</v>
      </c>
      <c r="M42">
        <f t="shared" si="4"/>
        <v>11</v>
      </c>
      <c r="N42">
        <f t="shared" si="4"/>
        <v>72</v>
      </c>
      <c r="O42">
        <f>SUM(O28:O41)</f>
        <v>10.5</v>
      </c>
      <c r="P42">
        <f t="shared" si="4"/>
        <v>90</v>
      </c>
      <c r="Q42">
        <f t="shared" si="4"/>
        <v>12</v>
      </c>
      <c r="R42">
        <f t="shared" si="4"/>
        <v>7</v>
      </c>
      <c r="S42">
        <f t="shared" si="4"/>
        <v>52</v>
      </c>
      <c r="T42">
        <f t="shared" si="4"/>
        <v>26</v>
      </c>
      <c r="U42" s="1">
        <f>SUM(U28:U41)</f>
        <v>13</v>
      </c>
      <c r="V42" s="2">
        <f t="shared" si="4"/>
        <v>26</v>
      </c>
      <c r="W42" s="2">
        <f t="shared" si="4"/>
        <v>127</v>
      </c>
      <c r="X42" s="2">
        <f t="shared" si="4"/>
        <v>293.5</v>
      </c>
      <c r="Y42" s="12">
        <f t="shared" si="4"/>
        <v>446.5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UAB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usuari_sid</dc:creator>
  <cp:lastModifiedBy>usuari_sid</cp:lastModifiedBy>
  <dcterms:created xsi:type="dcterms:W3CDTF">2018-03-05T11:08:58Z</dcterms:created>
  <dcterms:modified xsi:type="dcterms:W3CDTF">2018-03-05T15:09:54Z</dcterms:modified>
</cp:coreProperties>
</file>