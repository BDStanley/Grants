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evaanduiza/Dropbox/H2020/Preparacion proyecto/"/>
    </mc:Choice>
  </mc:AlternateContent>
  <bookViews>
    <workbookView xWindow="11960" yWindow="900" windowWidth="25840" windowHeight="17600" tabRatio="500" activeTab="1"/>
  </bookViews>
  <sheets>
    <sheet name="Calendar" sheetId="5" r:id="rId1"/>
    <sheet name="PM" sheetId="6" r:id="rId2"/>
    <sheet name="3.1a 3.1c" sheetId="4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14" i="6" l="1"/>
  <c r="Z7" i="6"/>
  <c r="Z20" i="6"/>
  <c r="Z21" i="6"/>
  <c r="F27" i="6"/>
  <c r="F41" i="6"/>
  <c r="F42" i="6"/>
  <c r="G27" i="6"/>
  <c r="G41" i="6"/>
  <c r="G42" i="6"/>
  <c r="H27" i="6"/>
  <c r="H41" i="6"/>
  <c r="H42" i="6"/>
  <c r="I27" i="6"/>
  <c r="I41" i="6"/>
  <c r="I42" i="6"/>
  <c r="J34" i="6"/>
  <c r="J27" i="6"/>
  <c r="J41" i="6"/>
  <c r="J42" i="6"/>
  <c r="K27" i="6"/>
  <c r="K41" i="6"/>
  <c r="K42" i="6"/>
  <c r="L27" i="6"/>
  <c r="L41" i="6"/>
  <c r="L42" i="6"/>
  <c r="M27" i="6"/>
  <c r="M40" i="6"/>
  <c r="M41" i="6"/>
  <c r="M42" i="6"/>
  <c r="E27" i="6"/>
  <c r="E41" i="6"/>
  <c r="E42" i="6"/>
  <c r="M28" i="6"/>
  <c r="M29" i="6"/>
  <c r="M30" i="6"/>
  <c r="M31" i="6"/>
  <c r="M32" i="6"/>
  <c r="M33" i="6"/>
  <c r="M34" i="6"/>
  <c r="M35" i="6"/>
  <c r="M36" i="6"/>
  <c r="M37" i="6"/>
  <c r="M38" i="6"/>
  <c r="M39" i="6"/>
  <c r="Y19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J28" i="6"/>
  <c r="J29" i="6"/>
  <c r="J30" i="6"/>
  <c r="J31" i="6"/>
  <c r="J32" i="6"/>
  <c r="J33" i="6"/>
  <c r="J35" i="6"/>
  <c r="J36" i="6"/>
  <c r="J37" i="6"/>
  <c r="J38" i="6"/>
  <c r="J39" i="6"/>
  <c r="J40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Z8" i="6"/>
  <c r="Z9" i="6"/>
  <c r="Z10" i="6"/>
  <c r="Z11" i="6"/>
  <c r="Z12" i="6"/>
  <c r="Z13" i="6"/>
  <c r="Z15" i="6"/>
  <c r="Z16" i="6"/>
  <c r="Z17" i="6"/>
  <c r="Z18" i="6"/>
  <c r="Z19" i="6"/>
  <c r="Y7" i="6"/>
  <c r="Y8" i="6"/>
  <c r="Y9" i="6"/>
  <c r="Y10" i="6"/>
  <c r="Y11" i="6"/>
  <c r="Y12" i="6"/>
  <c r="Y13" i="6"/>
  <c r="Y14" i="6"/>
  <c r="Y15" i="6"/>
  <c r="Y16" i="6"/>
  <c r="Y17" i="6"/>
  <c r="Y18" i="6"/>
  <c r="Y20" i="6"/>
  <c r="Y21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</calcChain>
</file>

<file path=xl/sharedStrings.xml><?xml version="1.0" encoding="utf-8"?>
<sst xmlns="http://schemas.openxmlformats.org/spreadsheetml/2006/main" count="212" uniqueCount="166">
  <si>
    <t>Deliverables</t>
  </si>
  <si>
    <t>Work package No</t>
  </si>
  <si>
    <t>Work Package Title</t>
  </si>
  <si>
    <t>Lead Participant No</t>
  </si>
  <si>
    <t>Lead Participant Short Name</t>
  </si>
  <si>
    <t>Person-Months</t>
  </si>
  <si>
    <t>Start Month</t>
  </si>
  <si>
    <t>End month</t>
  </si>
  <si>
    <t>Total person- months</t>
  </si>
  <si>
    <t>Deliverable (number)</t>
  </si>
  <si>
    <t>Deliverable name</t>
  </si>
  <si>
    <t xml:space="preserve">Work package number </t>
  </si>
  <si>
    <t xml:space="preserve">Short name of lead participant </t>
  </si>
  <si>
    <t>Type</t>
  </si>
  <si>
    <t>Dissemination level</t>
  </si>
  <si>
    <t>Delivery date</t>
  </si>
  <si>
    <t>(in months)</t>
  </si>
  <si>
    <t>WPn</t>
  </si>
  <si>
    <t>WPn+1</t>
  </si>
  <si>
    <t>WPn+2</t>
  </si>
  <si>
    <t>Total Person-</t>
  </si>
  <si>
    <t>Months per Participant</t>
  </si>
  <si>
    <r>
      <t>Participant Number/Short Name</t>
    </r>
    <r>
      <rPr>
        <sz val="12"/>
        <color theme="1"/>
        <rFont val="Times New Roman"/>
        <family val="1"/>
      </rPr>
      <t xml:space="preserve"> </t>
    </r>
  </si>
  <si>
    <t>ParticipantNumber/</t>
  </si>
  <si>
    <r>
      <t>Short Name</t>
    </r>
    <r>
      <rPr>
        <sz val="12"/>
        <color theme="1"/>
        <rFont val="Times New Roman"/>
        <family val="1"/>
      </rPr>
      <t xml:space="preserve"> </t>
    </r>
  </si>
  <si>
    <t>Participant Number/</t>
  </si>
  <si>
    <t>Total Person Months</t>
  </si>
  <si>
    <t>Participant Number/Short Name</t>
  </si>
  <si>
    <t>Cost (€)</t>
  </si>
  <si>
    <t>Justification</t>
  </si>
  <si>
    <t xml:space="preserve">Travel </t>
  </si>
  <si>
    <t xml:space="preserve">Equipment </t>
  </si>
  <si>
    <t>Other goods and services</t>
  </si>
  <si>
    <t>Total</t>
  </si>
  <si>
    <t>WP1</t>
  </si>
  <si>
    <t>WP2</t>
  </si>
  <si>
    <t>task 2.3 Analysis</t>
  </si>
  <si>
    <t>WP3</t>
  </si>
  <si>
    <t>WP4</t>
  </si>
  <si>
    <t>WP5</t>
  </si>
  <si>
    <t>task 5.3 Analysis</t>
  </si>
  <si>
    <t>WP6</t>
  </si>
  <si>
    <t>task 6.3 Analysis</t>
  </si>
  <si>
    <t>WP9</t>
  </si>
  <si>
    <t>Milestones</t>
  </si>
  <si>
    <t>WP7 Dissemination</t>
  </si>
  <si>
    <t>WP8 Communication and policy outreach</t>
  </si>
  <si>
    <t>task 4.1 Codebook preparation</t>
  </si>
  <si>
    <t>task 4.2 Sampling and pretest</t>
  </si>
  <si>
    <t>task 4.3 Coding</t>
  </si>
  <si>
    <t>task 4.4 Analysis</t>
  </si>
  <si>
    <t>task 5.1 Questionnaire preparation</t>
  </si>
  <si>
    <t>task 5.2 Sampling pretest and data retrieval</t>
  </si>
  <si>
    <t>task 6.1 Experimental protocols preparation (to be updated until end of wp)</t>
  </si>
  <si>
    <t>task 6.2 Data collection</t>
  </si>
  <si>
    <t xml:space="preserve">task 2.1 Sample selection </t>
  </si>
  <si>
    <t>task 2.4. Draft report</t>
  </si>
  <si>
    <t>task 3.1 Case study of Eurosceptic campaigns</t>
  </si>
  <si>
    <t xml:space="preserve">task 3.2 Mapping of EU responses to populism </t>
  </si>
  <si>
    <t>task 2.2 Interview guidelines definition, preparation and fieldwork</t>
  </si>
  <si>
    <t>task 5.4 Drafting report</t>
  </si>
  <si>
    <t>task 4.5 Drafting report</t>
  </si>
  <si>
    <t>D1.2</t>
  </si>
  <si>
    <t>D1.1</t>
  </si>
  <si>
    <t xml:space="preserve">D2.1 </t>
  </si>
  <si>
    <t xml:space="preserve">D2.2 </t>
  </si>
  <si>
    <t>D3.1</t>
  </si>
  <si>
    <t>D4.1</t>
  </si>
  <si>
    <t xml:space="preserve">D4.2 </t>
  </si>
  <si>
    <t>D5.1</t>
  </si>
  <si>
    <t>D5.2</t>
  </si>
  <si>
    <t xml:space="preserve">D6.1 </t>
  </si>
  <si>
    <t xml:space="preserve">D6.2 </t>
  </si>
  <si>
    <t>D6.3</t>
  </si>
  <si>
    <t>M1</t>
  </si>
  <si>
    <t xml:space="preserve">M2 </t>
  </si>
  <si>
    <t xml:space="preserve">M3 </t>
  </si>
  <si>
    <t xml:space="preserve">M4 </t>
  </si>
  <si>
    <t xml:space="preserve">M5 </t>
  </si>
  <si>
    <t>M6</t>
  </si>
  <si>
    <t>M7</t>
  </si>
  <si>
    <t xml:space="preserve">D7.1 </t>
  </si>
  <si>
    <t>D7.3</t>
  </si>
  <si>
    <t>D7.4</t>
  </si>
  <si>
    <t>D7.5</t>
  </si>
  <si>
    <t>D7.6</t>
  </si>
  <si>
    <t>D7.7</t>
  </si>
  <si>
    <t>task 7.8. Edited book proposal</t>
  </si>
  <si>
    <t>task 7.2 Comic</t>
  </si>
  <si>
    <t>task 7.4 Claims data preparation</t>
  </si>
  <si>
    <t>task 7.5 Survey data preparation</t>
  </si>
  <si>
    <t>task 7.6 Teaching unit</t>
  </si>
  <si>
    <t>D7.2</t>
  </si>
  <si>
    <t>D7.8</t>
  </si>
  <si>
    <t>D7.9, D7.10, D7.11, D7.12, D7.13</t>
  </si>
  <si>
    <t>task 1.1 Conceptualisation and critical reflection</t>
  </si>
  <si>
    <t>task 1.2 Mapping criteria</t>
  </si>
  <si>
    <t>task 1.3 Drafting reports</t>
  </si>
  <si>
    <t>task 3.2 Drafting report</t>
  </si>
  <si>
    <t>task 6.4 Drafting reports</t>
  </si>
  <si>
    <t>D8.1</t>
  </si>
  <si>
    <t>D8.2, D8.3</t>
  </si>
  <si>
    <t>D8.4, D8.5</t>
  </si>
  <si>
    <t>D8.4, D8.7</t>
  </si>
  <si>
    <t>D8.4, D8.6</t>
  </si>
  <si>
    <t>task 8.1 Communication plan</t>
  </si>
  <si>
    <t>task 8.2 Web and blog</t>
  </si>
  <si>
    <t>task 8.3 Social media</t>
  </si>
  <si>
    <t>task 8.4 Op-eds</t>
  </si>
  <si>
    <t>task 8.5 Review of results for policy briefs and prescriptive report</t>
  </si>
  <si>
    <t xml:space="preserve">task 8.6 Policy and prescriptive reports drafting </t>
  </si>
  <si>
    <t>D8.8</t>
  </si>
  <si>
    <t>task 7.9 Article elaboration, presentation in conferences and submission</t>
  </si>
  <si>
    <t>Task 9.1 Data management plan</t>
  </si>
  <si>
    <t>task 7.1 Dissemination and explotation plan</t>
  </si>
  <si>
    <t>task 7.3 Summer school and camp</t>
  </si>
  <si>
    <t>task 7.7 Café workshops</t>
  </si>
  <si>
    <t xml:space="preserve">task 9.2 Scientific coordination </t>
  </si>
  <si>
    <t>task 9.3 Scientific reporting</t>
  </si>
  <si>
    <t xml:space="preserve">task 9.4 Financial reporting </t>
  </si>
  <si>
    <t>task 9.5 Quality management</t>
  </si>
  <si>
    <t xml:space="preserve">D9.1 </t>
  </si>
  <si>
    <t>D9.1, D9.2, D9.3</t>
  </si>
  <si>
    <t xml:space="preserve">task 8.7 Video production </t>
  </si>
  <si>
    <t>task 8.8 Final conference</t>
  </si>
  <si>
    <t>Personnel effort</t>
  </si>
  <si>
    <t>PI</t>
  </si>
  <si>
    <t>Coordination and academic dissemination wp leaders in yellow</t>
  </si>
  <si>
    <t>WP execution</t>
  </si>
  <si>
    <t xml:space="preserve">Total </t>
  </si>
  <si>
    <t>wp1</t>
  </si>
  <si>
    <t>wp2</t>
  </si>
  <si>
    <t>wp3</t>
  </si>
  <si>
    <t>wp4</t>
  </si>
  <si>
    <t>wp5</t>
  </si>
  <si>
    <t>wp6</t>
  </si>
  <si>
    <t>wp7</t>
  </si>
  <si>
    <t>wp8</t>
  </si>
  <si>
    <t>wp9</t>
  </si>
  <si>
    <t>ip</t>
  </si>
  <si>
    <t>coord</t>
  </si>
  <si>
    <t>exec</t>
  </si>
  <si>
    <t>UAB</t>
  </si>
  <si>
    <t>Unige</t>
  </si>
  <si>
    <t>Shefield</t>
  </si>
  <si>
    <t>Siegen</t>
  </si>
  <si>
    <t>Salento</t>
  </si>
  <si>
    <t>Bergen</t>
  </si>
  <si>
    <t>Scuola Normale Superiore</t>
  </si>
  <si>
    <t>Leuven</t>
  </si>
  <si>
    <t>Ekke, Athens</t>
  </si>
  <si>
    <t>Charles</t>
  </si>
  <si>
    <t>Lille</t>
  </si>
  <si>
    <t>Warsaw</t>
  </si>
  <si>
    <t>Sofia</t>
  </si>
  <si>
    <t>Eureopan Alternatives</t>
  </si>
  <si>
    <t>Total pm effort by wp</t>
  </si>
  <si>
    <t>concept</t>
  </si>
  <si>
    <t>interviews</t>
  </si>
  <si>
    <t>eu case</t>
  </si>
  <si>
    <t>claims</t>
  </si>
  <si>
    <t>survey</t>
  </si>
  <si>
    <t>experim</t>
  </si>
  <si>
    <t>diss</t>
  </si>
  <si>
    <t>com</t>
  </si>
  <si>
    <t>manag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</si>
</sst>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auto="1"/>
      </top>
      <bottom style="thin">
        <color auto="1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auto="1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2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2" borderId="3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4" fillId="0" borderId="4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 indent="6"/>
    </xf>
    <xf numFmtId="0" fontId="3" fillId="0" borderId="3" xfId="0" applyFont="1" applyBorder="1" applyAlignment="1">
      <alignment horizontal="left" vertical="center" wrapText="1" indent="6"/>
    </xf>
    <xf numFmtId="0" fontId="3" fillId="3" borderId="3" xfId="0" applyFont="1" applyFill="1" applyBorder="1" applyAlignment="1">
      <alignment horizontal="right" vertical="center" wrapText="1" indent="6"/>
    </xf>
    <xf numFmtId="0" fontId="3" fillId="2" borderId="3" xfId="0" applyFont="1" applyFill="1" applyBorder="1" applyAlignment="1">
      <alignment horizontal="right" vertical="center" wrapText="1"/>
    </xf>
    <xf numFmtId="0" fontId="0" fillId="0" borderId="8" xfId="0" applyBorder="1"/>
    <xf numFmtId="0" fontId="0" fillId="4" borderId="8" xfId="0" applyFill="1" applyBorder="1"/>
    <xf numFmtId="0" fontId="2" fillId="0" borderId="8" xfId="0" applyFont="1" applyBorder="1"/>
    <xf numFmtId="0" fontId="2" fillId="0" borderId="10" xfId="0" applyFont="1" applyBorder="1"/>
    <xf numFmtId="0" fontId="0" fillId="0" borderId="10" xfId="0" applyBorder="1"/>
    <xf numFmtId="0" fontId="0" fillId="4" borderId="10" xfId="0" applyFill="1" applyBorder="1"/>
    <xf numFmtId="0" fontId="0" fillId="0" borderId="9" xfId="0" applyBorder="1"/>
    <xf numFmtId="0" fontId="0" fillId="0" borderId="10" xfId="0" applyFill="1" applyBorder="1"/>
    <xf numFmtId="0" fontId="0" fillId="0" borderId="11" xfId="0" applyBorder="1"/>
    <xf numFmtId="0" fontId="0" fillId="0" borderId="12" xfId="0" applyBorder="1"/>
    <xf numFmtId="17" fontId="5" fillId="0" borderId="0" xfId="0" applyNumberFormat="1" applyFont="1"/>
    <xf numFmtId="0" fontId="0" fillId="0" borderId="13" xfId="0" applyFill="1" applyBorder="1"/>
    <xf numFmtId="0" fontId="0" fillId="0" borderId="13" xfId="0" applyBorder="1"/>
    <xf numFmtId="0" fontId="0" fillId="5" borderId="14" xfId="0" applyFill="1" applyBorder="1"/>
    <xf numFmtId="0" fontId="0" fillId="0" borderId="14" xfId="0" applyBorder="1"/>
    <xf numFmtId="0" fontId="0" fillId="6" borderId="14" xfId="0" applyFill="1" applyBorder="1"/>
    <xf numFmtId="0" fontId="0" fillId="6" borderId="13" xfId="0" applyFill="1" applyBorder="1"/>
    <xf numFmtId="0" fontId="0" fillId="0" borderId="15" xfId="0" applyBorder="1"/>
    <xf numFmtId="0" fontId="0" fillId="4" borderId="16" xfId="0" applyFill="1" applyBorder="1"/>
    <xf numFmtId="0" fontId="0" fillId="0" borderId="16" xfId="0" applyBorder="1"/>
    <xf numFmtId="0" fontId="3" fillId="0" borderId="3" xfId="0" applyFont="1" applyBorder="1" applyAlignment="1">
      <alignment vertical="center" wrapText="1"/>
    </xf>
    <xf numFmtId="0" fontId="0" fillId="0" borderId="10" xfId="0" applyFont="1" applyBorder="1"/>
    <xf numFmtId="0" fontId="0" fillId="0" borderId="17" xfId="0" applyBorder="1"/>
    <xf numFmtId="0" fontId="0" fillId="4" borderId="0" xfId="0" applyFill="1"/>
    <xf numFmtId="0" fontId="0" fillId="0" borderId="8" xfId="0" applyFill="1" applyBorder="1"/>
    <xf numFmtId="0" fontId="6" fillId="0" borderId="18" xfId="0" applyFont="1" applyBorder="1"/>
    <xf numFmtId="0" fontId="0" fillId="4" borderId="0" xfId="0" applyFill="1" applyBorder="1"/>
    <xf numFmtId="0" fontId="0" fillId="0" borderId="16" xfId="0" applyFill="1" applyBorder="1"/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0" borderId="19" xfId="0" applyBorder="1"/>
    <xf numFmtId="0" fontId="0" fillId="0" borderId="0" xfId="0" applyFill="1" applyBorder="1"/>
    <xf numFmtId="0" fontId="0" fillId="0" borderId="19" xfId="0" applyFill="1" applyBorder="1"/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0" fillId="0" borderId="0" xfId="0" applyFill="1"/>
    <xf numFmtId="0" fontId="0" fillId="7" borderId="0" xfId="0" applyFill="1"/>
    <xf numFmtId="0" fontId="0" fillId="7" borderId="19" xfId="0" applyFill="1" applyBorder="1"/>
    <xf numFmtId="0" fontId="0" fillId="0" borderId="0" xfId="0" applyFont="1"/>
    <xf numFmtId="0" fontId="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8" borderId="0" xfId="0" applyFill="1" applyBorder="1"/>
    <xf numFmtId="0" fontId="6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/>
    <xf numFmtId="9" fontId="0" fillId="0" borderId="0" xfId="21" applyFont="1"/>
  </cellXfs>
  <cellStyles count="22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Normal" xfId="0" builtinId="0"/>
    <cellStyle name="Porcentaje" xfId="2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8"/>
  <sheetViews>
    <sheetView topLeftCell="A43" workbookViewId="0">
      <selection activeCell="AH67" sqref="AH67"/>
    </sheetView>
  </sheetViews>
  <sheetFormatPr baseColWidth="10" defaultColWidth="11" defaultRowHeight="16" x14ac:dyDescent="0.2"/>
  <cols>
    <col min="1" max="1" width="27.1640625" customWidth="1"/>
    <col min="2" max="41" width="3.83203125" customWidth="1"/>
  </cols>
  <sheetData>
    <row r="1" spans="1:41" x14ac:dyDescent="0.2">
      <c r="D1" s="29">
        <v>43709</v>
      </c>
      <c r="J1" s="29">
        <v>43891</v>
      </c>
      <c r="P1" s="29">
        <v>44075</v>
      </c>
      <c r="V1" s="29">
        <v>44256</v>
      </c>
      <c r="AB1" s="29">
        <v>44440</v>
      </c>
      <c r="AH1" s="29">
        <v>44621</v>
      </c>
      <c r="AO1" s="29">
        <v>44835</v>
      </c>
    </row>
    <row r="3" spans="1:41" x14ac:dyDescent="0.2">
      <c r="A3" s="19"/>
      <c r="B3" s="19">
        <v>1</v>
      </c>
      <c r="C3" s="19">
        <v>2</v>
      </c>
      <c r="D3" s="19">
        <v>3</v>
      </c>
      <c r="E3" s="19">
        <v>4</v>
      </c>
      <c r="F3" s="19">
        <v>5</v>
      </c>
      <c r="G3" s="19">
        <v>6</v>
      </c>
      <c r="H3" s="19">
        <v>7</v>
      </c>
      <c r="I3" s="19">
        <v>8</v>
      </c>
      <c r="J3" s="19">
        <v>9</v>
      </c>
      <c r="K3" s="19">
        <v>10</v>
      </c>
      <c r="L3" s="19">
        <v>11</v>
      </c>
      <c r="M3" s="19">
        <v>12</v>
      </c>
      <c r="N3" s="19">
        <v>13</v>
      </c>
      <c r="O3" s="19">
        <v>14</v>
      </c>
      <c r="P3" s="19">
        <v>15</v>
      </c>
      <c r="Q3" s="19">
        <v>16</v>
      </c>
      <c r="R3" s="19">
        <v>17</v>
      </c>
      <c r="S3" s="19">
        <v>18</v>
      </c>
      <c r="T3" s="19">
        <v>19</v>
      </c>
      <c r="U3" s="19">
        <v>20</v>
      </c>
      <c r="V3" s="19">
        <v>21</v>
      </c>
      <c r="W3" s="19">
        <v>22</v>
      </c>
      <c r="X3" s="19">
        <v>23</v>
      </c>
      <c r="Y3" s="19">
        <v>24</v>
      </c>
      <c r="Z3" s="19">
        <v>25</v>
      </c>
      <c r="AA3" s="19">
        <v>26</v>
      </c>
      <c r="AB3" s="19">
        <v>27</v>
      </c>
      <c r="AC3" s="19">
        <v>28</v>
      </c>
      <c r="AD3" s="19">
        <v>29</v>
      </c>
      <c r="AE3" s="19">
        <v>30</v>
      </c>
      <c r="AF3" s="19">
        <v>31</v>
      </c>
      <c r="AG3" s="19">
        <v>32</v>
      </c>
      <c r="AH3" s="19">
        <v>33</v>
      </c>
      <c r="AI3" s="19">
        <v>34</v>
      </c>
      <c r="AJ3" s="19">
        <v>35</v>
      </c>
      <c r="AK3" s="19">
        <v>36</v>
      </c>
      <c r="AL3" s="19">
        <v>37</v>
      </c>
      <c r="AM3" s="19">
        <v>38</v>
      </c>
      <c r="AN3" s="19">
        <v>39</v>
      </c>
      <c r="AO3" s="19">
        <v>40</v>
      </c>
    </row>
    <row r="4" spans="1:41" x14ac:dyDescent="0.2">
      <c r="A4" s="21" t="s">
        <v>34</v>
      </c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</row>
    <row r="5" spans="1:41" x14ac:dyDescent="0.2">
      <c r="A5" s="19" t="s">
        <v>95</v>
      </c>
      <c r="B5" s="19"/>
      <c r="C5" s="19"/>
      <c r="D5" s="19"/>
      <c r="E5" s="20"/>
      <c r="F5" s="20"/>
      <c r="G5" s="20"/>
      <c r="H5" s="20"/>
      <c r="I5" s="19"/>
      <c r="J5" s="19"/>
      <c r="K5" s="19"/>
      <c r="L5" s="19"/>
      <c r="M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</row>
    <row r="6" spans="1:41" x14ac:dyDescent="0.2">
      <c r="A6" s="19" t="s">
        <v>96</v>
      </c>
      <c r="B6" s="19"/>
      <c r="C6" s="19"/>
      <c r="D6" s="19"/>
      <c r="E6" s="19"/>
      <c r="F6" s="19"/>
      <c r="G6" s="19"/>
      <c r="H6" s="38"/>
      <c r="I6" s="20"/>
      <c r="J6" s="20"/>
      <c r="K6" s="20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</row>
    <row r="7" spans="1:41" x14ac:dyDescent="0.2">
      <c r="A7" s="38" t="s">
        <v>97</v>
      </c>
      <c r="B7" s="38"/>
      <c r="C7" s="38"/>
      <c r="D7" s="38"/>
      <c r="E7" s="37"/>
      <c r="F7" s="37"/>
      <c r="G7" s="37"/>
      <c r="H7" s="37"/>
      <c r="I7" s="37"/>
      <c r="J7" s="37"/>
      <c r="K7" s="37"/>
      <c r="L7" s="37"/>
      <c r="M7" s="37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</row>
    <row r="8" spans="1:41" x14ac:dyDescent="0.2">
      <c r="A8" s="25" t="s">
        <v>0</v>
      </c>
      <c r="B8" s="25"/>
      <c r="C8" s="25"/>
      <c r="D8" s="25"/>
      <c r="E8" s="25"/>
      <c r="F8" s="25"/>
      <c r="G8" s="25"/>
      <c r="H8" s="25"/>
      <c r="I8" s="25" t="s">
        <v>63</v>
      </c>
      <c r="J8" s="25"/>
      <c r="K8" s="25"/>
      <c r="L8" s="25"/>
      <c r="M8" s="25"/>
      <c r="N8" s="25" t="s">
        <v>62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</row>
    <row r="9" spans="1:41" x14ac:dyDescent="0.2">
      <c r="A9" s="22" t="s">
        <v>35</v>
      </c>
      <c r="B9" s="23"/>
      <c r="C9" s="23"/>
      <c r="D9" s="23"/>
      <c r="E9" s="23"/>
      <c r="F9" s="23"/>
      <c r="G9" s="23"/>
      <c r="H9" s="24"/>
      <c r="I9" s="24"/>
      <c r="J9" s="24"/>
      <c r="K9" s="24"/>
      <c r="L9" s="24"/>
      <c r="M9" s="24"/>
      <c r="N9" s="24"/>
      <c r="O9" s="24"/>
      <c r="P9" s="24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x14ac:dyDescent="0.2">
      <c r="A10" s="19" t="s">
        <v>55</v>
      </c>
      <c r="B10" s="19"/>
      <c r="C10" s="19"/>
      <c r="D10" s="19"/>
      <c r="E10" s="19"/>
      <c r="F10" s="19"/>
      <c r="G10" s="19"/>
      <c r="H10" s="20"/>
      <c r="I10" s="20"/>
      <c r="K10" s="19"/>
      <c r="L10" s="19"/>
      <c r="M10" s="19"/>
      <c r="O10" s="19"/>
      <c r="P10" s="19"/>
      <c r="Q10" s="19"/>
      <c r="R10" s="19"/>
      <c r="S10" s="19"/>
      <c r="U10" s="19"/>
      <c r="V10" s="19"/>
      <c r="W10" s="19"/>
      <c r="X10" s="19"/>
      <c r="Y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</row>
    <row r="11" spans="1:41" x14ac:dyDescent="0.2">
      <c r="A11" s="19" t="s">
        <v>59</v>
      </c>
      <c r="B11" s="19"/>
      <c r="C11" s="19"/>
      <c r="D11" s="19"/>
      <c r="E11" s="19"/>
      <c r="F11" s="19"/>
      <c r="G11" s="19"/>
      <c r="H11" s="19"/>
      <c r="I11" s="19"/>
      <c r="J11" s="20"/>
      <c r="K11" s="20"/>
      <c r="L11" s="19"/>
      <c r="M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</row>
    <row r="12" spans="1:41" x14ac:dyDescent="0.2">
      <c r="A12" s="19" t="s">
        <v>36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0"/>
      <c r="M12" s="20"/>
      <c r="N12" s="20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</row>
    <row r="13" spans="1:41" x14ac:dyDescent="0.2">
      <c r="A13" s="38" t="s">
        <v>56</v>
      </c>
      <c r="B13" s="38"/>
      <c r="C13" s="38"/>
      <c r="D13" s="38"/>
      <c r="E13" s="38"/>
      <c r="F13" s="38"/>
      <c r="G13" s="38"/>
      <c r="H13" s="37"/>
      <c r="I13" s="37"/>
      <c r="J13" s="37"/>
      <c r="K13" s="37"/>
      <c r="L13" s="37"/>
      <c r="M13" s="37"/>
      <c r="N13" s="42"/>
      <c r="O13" s="20"/>
      <c r="P13" s="20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</row>
    <row r="14" spans="1:41" x14ac:dyDescent="0.2">
      <c r="A14" s="25" t="s">
        <v>0</v>
      </c>
      <c r="B14" s="25"/>
      <c r="C14" s="25"/>
      <c r="D14" s="25"/>
      <c r="E14" s="25"/>
      <c r="F14" s="25"/>
      <c r="G14" s="25"/>
      <c r="H14" s="25"/>
      <c r="I14" s="25"/>
      <c r="J14" s="25"/>
      <c r="K14" s="25" t="s">
        <v>64</v>
      </c>
      <c r="L14" s="25"/>
      <c r="M14" s="25"/>
      <c r="N14" s="25"/>
      <c r="O14" s="25"/>
      <c r="P14" s="25"/>
      <c r="Q14" s="25" t="s">
        <v>65</v>
      </c>
      <c r="R14" s="28"/>
      <c r="S14" s="28"/>
      <c r="T14" s="28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</row>
    <row r="15" spans="1:41" x14ac:dyDescent="0.2">
      <c r="A15" s="22" t="s">
        <v>37</v>
      </c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24"/>
      <c r="M15" s="24"/>
      <c r="N15" s="24"/>
      <c r="O15" s="24"/>
      <c r="P15" s="24"/>
      <c r="Q15" s="24"/>
      <c r="R15" s="26"/>
      <c r="S15" s="26"/>
      <c r="T15" s="26"/>
      <c r="U15" s="26"/>
      <c r="V15" s="26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x14ac:dyDescent="0.2">
      <c r="A16" s="19" t="s">
        <v>57</v>
      </c>
      <c r="B16" s="19"/>
      <c r="C16" s="19"/>
      <c r="D16" s="19"/>
      <c r="E16" s="19"/>
      <c r="F16" s="19"/>
      <c r="G16" s="19"/>
      <c r="H16" s="19"/>
      <c r="I16" s="19"/>
      <c r="J16" s="19"/>
      <c r="K16" s="20"/>
      <c r="L16" s="20"/>
      <c r="M16" s="20"/>
      <c r="N16" s="20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</row>
    <row r="17" spans="1:41" x14ac:dyDescent="0.2">
      <c r="A17" s="19" t="s">
        <v>58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</row>
    <row r="18" spans="1:41" x14ac:dyDescent="0.2">
      <c r="A18" s="19" t="s">
        <v>98</v>
      </c>
      <c r="B18" s="19"/>
      <c r="C18" s="19"/>
      <c r="D18" s="19"/>
      <c r="E18" s="19"/>
      <c r="F18" s="19"/>
      <c r="G18" s="19"/>
      <c r="H18" s="19"/>
      <c r="I18" s="19"/>
      <c r="J18" s="19"/>
      <c r="K18" s="20"/>
      <c r="L18" s="20"/>
      <c r="M18" s="20"/>
      <c r="N18" s="20"/>
      <c r="O18" s="20"/>
      <c r="P18" s="20"/>
      <c r="Q18" s="20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</row>
    <row r="19" spans="1:41" x14ac:dyDescent="0.2">
      <c r="A19" s="25" t="s">
        <v>0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 t="s">
        <v>66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</row>
    <row r="20" spans="1:41" x14ac:dyDescent="0.2">
      <c r="A20" s="22" t="s">
        <v>38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spans="1:41" x14ac:dyDescent="0.2">
      <c r="A21" s="19" t="s">
        <v>47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0"/>
      <c r="R21" s="20"/>
      <c r="S21" s="20"/>
      <c r="T21" s="20"/>
      <c r="U21" s="19"/>
      <c r="V21" s="19"/>
      <c r="W21" s="19"/>
      <c r="X21" s="19"/>
      <c r="Y21" s="19"/>
      <c r="Z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</row>
    <row r="22" spans="1:41" x14ac:dyDescent="0.2">
      <c r="A22" s="19" t="s">
        <v>48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20"/>
      <c r="T22" s="20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</row>
    <row r="23" spans="1:41" x14ac:dyDescent="0.2">
      <c r="A23" s="19" t="s">
        <v>49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U23" s="20"/>
      <c r="V23" s="20"/>
      <c r="W23" s="20"/>
      <c r="X23" s="20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</row>
    <row r="24" spans="1:41" x14ac:dyDescent="0.2">
      <c r="A24" s="19" t="s">
        <v>50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Y24" s="20"/>
      <c r="Z24" s="20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</row>
    <row r="25" spans="1:41" x14ac:dyDescent="0.2">
      <c r="A25" s="38" t="s">
        <v>61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20"/>
      <c r="R25" s="20"/>
      <c r="S25" s="20"/>
      <c r="T25" s="20"/>
      <c r="U25" s="20"/>
      <c r="V25" s="20"/>
      <c r="W25" s="20"/>
      <c r="X25" s="20"/>
      <c r="Y25" s="20"/>
      <c r="Z25" s="20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</row>
    <row r="26" spans="1:41" x14ac:dyDescent="0.2">
      <c r="A26" s="25" t="s">
        <v>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 t="s">
        <v>67</v>
      </c>
      <c r="U26" s="28"/>
      <c r="V26" s="25"/>
      <c r="W26" s="25"/>
      <c r="X26" s="25"/>
      <c r="Y26" s="25"/>
      <c r="Z26" s="25"/>
      <c r="AA26" s="25" t="s">
        <v>68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</row>
    <row r="27" spans="1:41" x14ac:dyDescent="0.2">
      <c r="A27" s="22" t="s">
        <v>39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4"/>
      <c r="V27" s="24"/>
      <c r="W27" s="24"/>
      <c r="X27" s="24"/>
      <c r="Y27" s="24"/>
      <c r="Z27" s="24"/>
      <c r="AA27" s="24"/>
      <c r="AB27" s="26"/>
      <c r="AC27" s="26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</row>
    <row r="28" spans="1:41" x14ac:dyDescent="0.2">
      <c r="A28" s="19" t="s">
        <v>51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  <c r="V28" s="20"/>
      <c r="W28" s="20"/>
      <c r="X28" s="43"/>
      <c r="Y28" s="19"/>
      <c r="Z28" s="19"/>
      <c r="AA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</row>
    <row r="29" spans="1:41" x14ac:dyDescent="0.2">
      <c r="A29" s="19" t="s">
        <v>52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20"/>
      <c r="Y29" s="20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</row>
    <row r="30" spans="1:41" x14ac:dyDescent="0.2">
      <c r="A30" s="19" t="s">
        <v>40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Z30" s="20"/>
      <c r="AA30" s="20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</row>
    <row r="31" spans="1:41" x14ac:dyDescent="0.2">
      <c r="A31" s="38" t="s">
        <v>60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20"/>
      <c r="V31" s="20"/>
      <c r="W31" s="20"/>
      <c r="X31" s="20"/>
      <c r="Y31" s="20"/>
      <c r="Z31" s="20"/>
      <c r="AA31" s="20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</row>
    <row r="32" spans="1:41" x14ac:dyDescent="0.2">
      <c r="A32" s="25" t="s">
        <v>0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 t="s">
        <v>69</v>
      </c>
      <c r="Z32" s="25"/>
      <c r="AA32" s="25"/>
      <c r="AB32" s="25" t="s">
        <v>70</v>
      </c>
      <c r="AC32" s="28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</row>
    <row r="33" spans="1:41" x14ac:dyDescent="0.2">
      <c r="A33" s="22" t="s">
        <v>41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4"/>
      <c r="AC33" s="24"/>
      <c r="AD33" s="24"/>
      <c r="AE33" s="24"/>
      <c r="AF33" s="24"/>
      <c r="AG33" s="24"/>
      <c r="AH33" s="24"/>
      <c r="AI33" s="24"/>
      <c r="AJ33" s="23"/>
      <c r="AK33" s="23"/>
      <c r="AL33" s="23"/>
      <c r="AM33" s="23"/>
      <c r="AN33" s="23"/>
      <c r="AO33" s="23"/>
    </row>
    <row r="34" spans="1:41" x14ac:dyDescent="0.2">
      <c r="A34" s="19" t="s">
        <v>53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20"/>
      <c r="AC34" s="20"/>
      <c r="AD34" s="20"/>
      <c r="AE34" s="19"/>
      <c r="AF34" s="19"/>
      <c r="AG34" s="19"/>
      <c r="AH34" s="19"/>
      <c r="AI34" s="19"/>
      <c r="AK34" s="19"/>
      <c r="AL34" s="19"/>
      <c r="AM34" s="19"/>
      <c r="AN34" s="19"/>
      <c r="AO34" s="19"/>
    </row>
    <row r="35" spans="1:41" x14ac:dyDescent="0.2">
      <c r="A35" s="19" t="s">
        <v>54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/>
      <c r="AF35" s="20"/>
      <c r="AG35" s="19"/>
      <c r="AH35" s="19"/>
      <c r="AI35" s="19"/>
      <c r="AJ35" s="19"/>
      <c r="AK35" s="19"/>
      <c r="AL35" s="19"/>
      <c r="AM35" s="19"/>
      <c r="AN35" s="19"/>
      <c r="AO35" s="19"/>
    </row>
    <row r="36" spans="1:41" x14ac:dyDescent="0.2">
      <c r="A36" s="19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20"/>
      <c r="AH36" s="20"/>
      <c r="AI36" s="19"/>
      <c r="AJ36" s="19"/>
      <c r="AK36" s="19"/>
      <c r="AL36" s="19"/>
      <c r="AM36" s="19"/>
      <c r="AN36" s="19"/>
      <c r="AO36" s="19"/>
    </row>
    <row r="37" spans="1:41" x14ac:dyDescent="0.2">
      <c r="A37" s="38" t="s">
        <v>99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7"/>
      <c r="AC37" s="37"/>
      <c r="AD37" s="37"/>
      <c r="AE37" s="20"/>
      <c r="AF37" s="20"/>
      <c r="AG37" s="20"/>
      <c r="AH37" s="20"/>
      <c r="AI37" s="20"/>
      <c r="AJ37" s="19"/>
      <c r="AK37" s="38"/>
      <c r="AL37" s="38"/>
      <c r="AM37" s="38"/>
      <c r="AN37" s="38"/>
      <c r="AO37" s="38"/>
    </row>
    <row r="38" spans="1:41" x14ac:dyDescent="0.2">
      <c r="A38" s="25" t="s">
        <v>0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 t="s">
        <v>71</v>
      </c>
      <c r="AF38" s="25"/>
      <c r="AG38" s="25"/>
      <c r="AH38" s="25"/>
      <c r="AI38" s="25"/>
      <c r="AJ38" s="25" t="s">
        <v>72</v>
      </c>
      <c r="AK38" s="25" t="s">
        <v>73</v>
      </c>
      <c r="AL38" s="25"/>
      <c r="AM38" s="25"/>
      <c r="AN38" s="25"/>
      <c r="AO38" s="25"/>
    </row>
    <row r="39" spans="1:41" x14ac:dyDescent="0.2">
      <c r="A39" s="22" t="s">
        <v>45</v>
      </c>
      <c r="B39" s="24"/>
      <c r="C39" s="24"/>
      <c r="D39" s="24"/>
      <c r="E39" s="23"/>
      <c r="F39" s="23"/>
      <c r="G39" s="23"/>
      <c r="H39" s="23"/>
      <c r="I39" s="23"/>
      <c r="J39" s="23"/>
      <c r="K39" s="23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</row>
    <row r="40" spans="1:41" x14ac:dyDescent="0.2">
      <c r="A40" s="40" t="s">
        <v>114</v>
      </c>
      <c r="B40" s="24"/>
      <c r="C40" s="24"/>
      <c r="D40" s="2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</row>
    <row r="41" spans="1:41" x14ac:dyDescent="0.2">
      <c r="A41" s="19" t="s">
        <v>88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4"/>
      <c r="M41" s="24"/>
      <c r="N41" s="24"/>
      <c r="O41" s="24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</row>
    <row r="42" spans="1:41" x14ac:dyDescent="0.2">
      <c r="A42" s="40" t="s">
        <v>115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4"/>
      <c r="X42" s="24"/>
      <c r="Y42" s="24"/>
      <c r="Z42" s="24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</row>
    <row r="43" spans="1:41" x14ac:dyDescent="0.2">
      <c r="A43" s="19" t="s">
        <v>89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</row>
    <row r="44" spans="1:41" x14ac:dyDescent="0.2">
      <c r="A44" s="19" t="s">
        <v>90</v>
      </c>
      <c r="B44" s="19"/>
      <c r="C44" s="19"/>
      <c r="D44" s="19"/>
      <c r="F44" s="19"/>
      <c r="G44" s="19"/>
      <c r="H44" s="19"/>
      <c r="I44" s="19"/>
      <c r="J44" s="19"/>
      <c r="K44" s="19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4"/>
      <c r="AA44" s="24"/>
      <c r="AB44" s="24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19"/>
    </row>
    <row r="45" spans="1:41" x14ac:dyDescent="0.2">
      <c r="A45" s="38" t="s">
        <v>91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4"/>
      <c r="AC45" s="24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19"/>
    </row>
    <row r="46" spans="1:41" x14ac:dyDescent="0.2">
      <c r="A46" s="40" t="s">
        <v>116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20"/>
      <c r="AE46" s="20"/>
      <c r="AF46" s="20"/>
      <c r="AG46" s="20"/>
      <c r="AH46" s="19"/>
      <c r="AI46" s="19"/>
      <c r="AJ46" s="19"/>
      <c r="AK46" s="19"/>
      <c r="AL46" s="19"/>
      <c r="AM46" s="19"/>
      <c r="AN46" s="19"/>
      <c r="AO46" s="19"/>
    </row>
    <row r="47" spans="1:41" x14ac:dyDescent="0.2">
      <c r="A47" s="38" t="s">
        <v>87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7"/>
      <c r="AI47" s="37"/>
      <c r="AJ47" s="37"/>
      <c r="AK47" s="38"/>
      <c r="AL47" s="38"/>
      <c r="AM47" s="38"/>
      <c r="AN47" s="38"/>
      <c r="AO47" s="38"/>
    </row>
    <row r="48" spans="1:41" x14ac:dyDescent="0.2">
      <c r="A48" s="38" t="s">
        <v>112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8"/>
    </row>
    <row r="49" spans="1:41" x14ac:dyDescent="0.2">
      <c r="A49" s="25" t="s">
        <v>0</v>
      </c>
      <c r="B49" s="25"/>
      <c r="C49" s="25"/>
      <c r="D49" s="25"/>
      <c r="E49" s="25" t="s">
        <v>81</v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 t="s">
        <v>92</v>
      </c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 t="s">
        <v>82</v>
      </c>
      <c r="AB49" s="25"/>
      <c r="AC49" s="25" t="s">
        <v>83</v>
      </c>
      <c r="AD49" s="25" t="s">
        <v>84</v>
      </c>
      <c r="AE49" s="25"/>
      <c r="AF49" s="41"/>
      <c r="AG49" s="25"/>
      <c r="AH49" s="25" t="s">
        <v>85</v>
      </c>
      <c r="AI49" s="25"/>
      <c r="AJ49" s="25"/>
      <c r="AK49" s="41" t="s">
        <v>86</v>
      </c>
      <c r="AL49" s="25"/>
      <c r="AM49" s="25" t="s">
        <v>93</v>
      </c>
      <c r="AN49" s="25"/>
      <c r="AO49" s="25" t="s">
        <v>94</v>
      </c>
    </row>
    <row r="50" spans="1:41" x14ac:dyDescent="0.2">
      <c r="A50" s="22" t="s">
        <v>46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</row>
    <row r="51" spans="1:41" x14ac:dyDescent="0.2">
      <c r="A51" s="19" t="s">
        <v>105</v>
      </c>
      <c r="B51" s="20"/>
      <c r="C51" s="20"/>
      <c r="D51" s="20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</row>
    <row r="52" spans="1:41" x14ac:dyDescent="0.2">
      <c r="A52" s="19" t="s">
        <v>106</v>
      </c>
      <c r="B52" s="19"/>
      <c r="C52" s="19"/>
      <c r="D52" s="1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x14ac:dyDescent="0.2">
      <c r="A53" s="38" t="s">
        <v>107</v>
      </c>
      <c r="B53" s="38"/>
      <c r="C53" s="38"/>
      <c r="D53" s="38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20"/>
      <c r="AF53" s="37"/>
      <c r="AG53" s="37"/>
      <c r="AH53" s="37"/>
      <c r="AI53" s="37"/>
      <c r="AJ53" s="37"/>
      <c r="AK53" s="20"/>
      <c r="AL53" s="37"/>
      <c r="AM53" s="37"/>
      <c r="AN53" s="37"/>
      <c r="AO53" s="37"/>
    </row>
    <row r="54" spans="1:41" x14ac:dyDescent="0.2">
      <c r="A54" s="38" t="s">
        <v>108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7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45"/>
      <c r="AF54" s="38"/>
      <c r="AG54" s="38"/>
      <c r="AH54" s="38"/>
      <c r="AI54" s="38"/>
      <c r="AJ54" s="38"/>
      <c r="AK54" s="20"/>
      <c r="AL54" s="38"/>
      <c r="AM54" s="38"/>
      <c r="AN54" s="38"/>
      <c r="AO54" s="38"/>
    </row>
    <row r="55" spans="1:41" x14ac:dyDescent="0.2">
      <c r="A55" s="38" t="s">
        <v>109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7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7"/>
      <c r="AE55" s="38"/>
      <c r="AF55" s="38"/>
      <c r="AG55" s="38"/>
      <c r="AH55" s="38"/>
      <c r="AI55" s="38"/>
      <c r="AJ55" s="37"/>
      <c r="AK55" s="38"/>
      <c r="AL55" s="38"/>
      <c r="AM55" s="38"/>
      <c r="AN55" s="38"/>
      <c r="AO55" s="38"/>
    </row>
    <row r="56" spans="1:41" x14ac:dyDescent="0.2">
      <c r="A56" s="38" t="s">
        <v>110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7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20"/>
      <c r="AF56" s="38"/>
      <c r="AG56" s="38"/>
      <c r="AH56" s="38"/>
      <c r="AI56" s="38"/>
      <c r="AJ56" s="38"/>
      <c r="AK56" s="20"/>
      <c r="AL56" s="37"/>
      <c r="AM56" s="37"/>
      <c r="AN56" s="38"/>
      <c r="AO56" s="38"/>
    </row>
    <row r="57" spans="1:41" x14ac:dyDescent="0.2">
      <c r="A57" s="38" t="s">
        <v>123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7"/>
      <c r="AB57" s="38"/>
      <c r="AC57" s="38"/>
      <c r="AD57" s="38"/>
      <c r="AF57" s="38"/>
      <c r="AG57" s="38"/>
      <c r="AH57" s="38"/>
      <c r="AI57" s="38"/>
      <c r="AJ57" s="37"/>
      <c r="AK57" s="37"/>
      <c r="AL57" s="37"/>
      <c r="AM57" s="37"/>
      <c r="AN57" s="38"/>
      <c r="AO57" s="38"/>
    </row>
    <row r="58" spans="1:41" x14ac:dyDescent="0.2">
      <c r="A58" s="38" t="s">
        <v>124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46"/>
      <c r="AB58" s="38"/>
      <c r="AC58" s="38"/>
      <c r="AD58" s="38"/>
      <c r="AF58" s="38"/>
      <c r="AG58" s="38"/>
      <c r="AH58" s="38"/>
      <c r="AI58" s="38"/>
      <c r="AJ58" s="46"/>
      <c r="AK58" s="46"/>
      <c r="AL58" s="46"/>
      <c r="AM58" s="46"/>
      <c r="AN58" s="46"/>
      <c r="AO58" s="46"/>
    </row>
    <row r="59" spans="1:41" x14ac:dyDescent="0.2">
      <c r="A59" s="25" t="s">
        <v>0</v>
      </c>
      <c r="B59" s="25"/>
      <c r="C59" s="25"/>
      <c r="D59" s="25"/>
      <c r="E59" s="25"/>
      <c r="F59" s="25" t="s">
        <v>100</v>
      </c>
      <c r="G59" s="25" t="s">
        <v>101</v>
      </c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 t="s">
        <v>102</v>
      </c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44" t="s">
        <v>104</v>
      </c>
      <c r="AF59" s="25"/>
      <c r="AG59" s="25"/>
      <c r="AH59" s="25"/>
      <c r="AI59" s="25"/>
      <c r="AJ59" s="25"/>
      <c r="AK59" s="44" t="s">
        <v>103</v>
      </c>
      <c r="AL59" s="25"/>
      <c r="AM59" s="25" t="s">
        <v>111</v>
      </c>
      <c r="AN59" s="25"/>
      <c r="AO59" s="25"/>
    </row>
    <row r="60" spans="1:41" x14ac:dyDescent="0.2">
      <c r="A60" s="22" t="s">
        <v>43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</row>
    <row r="61" spans="1:41" x14ac:dyDescent="0.2">
      <c r="A61" s="19" t="s">
        <v>113</v>
      </c>
      <c r="B61" s="37"/>
      <c r="C61" s="37"/>
      <c r="D61" s="37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7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7"/>
      <c r="AO61" s="38"/>
    </row>
    <row r="62" spans="1:41" x14ac:dyDescent="0.2">
      <c r="A62" s="19" t="s">
        <v>117</v>
      </c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</row>
    <row r="63" spans="1:41" x14ac:dyDescent="0.2">
      <c r="A63" s="19" t="s">
        <v>118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7"/>
      <c r="U63" s="37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7"/>
      <c r="AN63" s="37"/>
      <c r="AO63" s="38"/>
    </row>
    <row r="64" spans="1:41" x14ac:dyDescent="0.2">
      <c r="A64" s="36" t="s">
        <v>119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7"/>
      <c r="U64" s="37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7"/>
      <c r="AN64" s="37"/>
      <c r="AO64" s="38"/>
    </row>
    <row r="65" spans="1:41" x14ac:dyDescent="0.2">
      <c r="A65" s="36" t="s">
        <v>120</v>
      </c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</row>
    <row r="66" spans="1:41" x14ac:dyDescent="0.2">
      <c r="A66" s="27" t="s">
        <v>0</v>
      </c>
      <c r="B66" s="25"/>
      <c r="C66" s="25"/>
      <c r="D66" s="25"/>
      <c r="E66" s="25" t="s">
        <v>121</v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 t="s">
        <v>122</v>
      </c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 t="s">
        <v>122</v>
      </c>
    </row>
    <row r="67" spans="1:41" x14ac:dyDescent="0.2">
      <c r="A67" s="30" t="s">
        <v>44</v>
      </c>
      <c r="B67" s="31"/>
      <c r="C67" s="31"/>
      <c r="D67" s="32" t="s">
        <v>74</v>
      </c>
      <c r="E67" s="31"/>
      <c r="F67" s="33"/>
      <c r="G67" s="33"/>
      <c r="H67" s="33"/>
      <c r="I67" s="33"/>
      <c r="J67" s="34" t="s">
        <v>75</v>
      </c>
      <c r="K67" s="33"/>
      <c r="L67" s="33"/>
      <c r="M67" s="33"/>
      <c r="N67" s="33"/>
      <c r="O67" s="33"/>
      <c r="P67" s="35" t="s">
        <v>76</v>
      </c>
      <c r="Q67" s="33"/>
      <c r="R67" s="33"/>
      <c r="S67" s="33"/>
      <c r="T67" s="33"/>
      <c r="U67" s="33"/>
      <c r="V67" s="34" t="s">
        <v>77</v>
      </c>
      <c r="W67" s="33"/>
      <c r="X67" s="33"/>
      <c r="Y67" s="33"/>
      <c r="Z67" s="33"/>
      <c r="AA67" s="33"/>
      <c r="AB67" s="34" t="s">
        <v>78</v>
      </c>
      <c r="AC67" s="33"/>
      <c r="AD67" s="33"/>
      <c r="AE67" s="33"/>
      <c r="AF67" s="33"/>
      <c r="AG67" s="33"/>
      <c r="AH67" s="34" t="s">
        <v>79</v>
      </c>
      <c r="AI67" s="33"/>
      <c r="AJ67" s="33"/>
      <c r="AK67" s="33"/>
      <c r="AL67" s="33"/>
      <c r="AM67" s="33"/>
      <c r="AN67" s="33"/>
      <c r="AO67" s="32" t="s">
        <v>80</v>
      </c>
    </row>
    <row r="68" spans="1:41" x14ac:dyDescent="0.2">
      <c r="B68" s="19">
        <v>1</v>
      </c>
      <c r="C68" s="19">
        <v>2</v>
      </c>
      <c r="D68" s="19">
        <v>3</v>
      </c>
      <c r="E68" s="19">
        <v>4</v>
      </c>
      <c r="F68" s="19">
        <v>5</v>
      </c>
      <c r="G68" s="19">
        <v>6</v>
      </c>
      <c r="H68" s="19">
        <v>7</v>
      </c>
      <c r="I68" s="19">
        <v>8</v>
      </c>
      <c r="J68" s="19">
        <v>9</v>
      </c>
      <c r="K68" s="19">
        <v>10</v>
      </c>
      <c r="L68" s="19">
        <v>11</v>
      </c>
      <c r="M68" s="19">
        <v>12</v>
      </c>
      <c r="N68" s="19">
        <v>13</v>
      </c>
      <c r="O68" s="19">
        <v>14</v>
      </c>
      <c r="P68" s="19">
        <v>15</v>
      </c>
      <c r="Q68" s="19">
        <v>16</v>
      </c>
      <c r="R68" s="19">
        <v>17</v>
      </c>
      <c r="S68" s="19">
        <v>18</v>
      </c>
      <c r="T68" s="19">
        <v>19</v>
      </c>
      <c r="U68" s="19">
        <v>20</v>
      </c>
      <c r="V68" s="19">
        <v>21</v>
      </c>
      <c r="W68" s="19">
        <v>22</v>
      </c>
      <c r="X68" s="19">
        <v>23</v>
      </c>
      <c r="Y68" s="19">
        <v>24</v>
      </c>
      <c r="Z68" s="19">
        <v>25</v>
      </c>
      <c r="AA68" s="19">
        <v>26</v>
      </c>
      <c r="AB68" s="19">
        <v>27</v>
      </c>
      <c r="AC68" s="19">
        <v>28</v>
      </c>
      <c r="AD68" s="19">
        <v>29</v>
      </c>
      <c r="AE68" s="19">
        <v>30</v>
      </c>
      <c r="AF68" s="19">
        <v>31</v>
      </c>
      <c r="AG68" s="19">
        <v>32</v>
      </c>
      <c r="AH68" s="19">
        <v>33</v>
      </c>
      <c r="AI68" s="19">
        <v>34</v>
      </c>
      <c r="AJ68" s="19">
        <v>35</v>
      </c>
      <c r="AK68" s="19">
        <v>36</v>
      </c>
      <c r="AL68" s="19">
        <v>37</v>
      </c>
      <c r="AM68" s="19">
        <v>38</v>
      </c>
      <c r="AN68" s="19">
        <v>39</v>
      </c>
      <c r="AO68" s="19">
        <v>40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Z42"/>
  <sheetViews>
    <sheetView tabSelected="1" workbookViewId="0">
      <selection activeCell="T31" sqref="T31"/>
    </sheetView>
  </sheetViews>
  <sheetFormatPr baseColWidth="10" defaultColWidth="11" defaultRowHeight="16" x14ac:dyDescent="0.2"/>
  <cols>
    <col min="1" max="1" width="3.1640625" customWidth="1"/>
    <col min="2" max="2" width="6" customWidth="1"/>
    <col min="3" max="3" width="10" customWidth="1"/>
    <col min="4" max="4" width="4.83203125" customWidth="1"/>
    <col min="5" max="26" width="6.83203125" customWidth="1"/>
  </cols>
  <sheetData>
    <row r="4" spans="2:26" x14ac:dyDescent="0.2">
      <c r="B4" s="28" t="s">
        <v>125</v>
      </c>
    </row>
    <row r="5" spans="2:26" x14ac:dyDescent="0.2">
      <c r="D5" t="s">
        <v>126</v>
      </c>
      <c r="E5" t="s">
        <v>127</v>
      </c>
      <c r="N5" t="s">
        <v>128</v>
      </c>
      <c r="W5" t="s">
        <v>129</v>
      </c>
    </row>
    <row r="6" spans="2:26" x14ac:dyDescent="0.2">
      <c r="D6" s="57"/>
      <c r="E6" t="s">
        <v>130</v>
      </c>
      <c r="F6" t="s">
        <v>131</v>
      </c>
      <c r="G6" t="s">
        <v>132</v>
      </c>
      <c r="H6" t="s">
        <v>133</v>
      </c>
      <c r="I6" t="s">
        <v>134</v>
      </c>
      <c r="J6" t="s">
        <v>135</v>
      </c>
      <c r="K6" t="s">
        <v>136</v>
      </c>
      <c r="L6" t="s">
        <v>137</v>
      </c>
      <c r="M6" s="57" t="s">
        <v>138</v>
      </c>
      <c r="N6" t="s">
        <v>130</v>
      </c>
      <c r="O6" t="s">
        <v>131</v>
      </c>
      <c r="P6" t="s">
        <v>132</v>
      </c>
      <c r="Q6" t="s">
        <v>133</v>
      </c>
      <c r="R6" t="s">
        <v>134</v>
      </c>
      <c r="S6" t="s">
        <v>135</v>
      </c>
      <c r="T6" t="s">
        <v>136</v>
      </c>
      <c r="U6" t="s">
        <v>137</v>
      </c>
      <c r="V6" s="57" t="s">
        <v>138</v>
      </c>
      <c r="W6" s="58" t="s">
        <v>139</v>
      </c>
      <c r="X6" s="58" t="s">
        <v>140</v>
      </c>
      <c r="Y6" s="59" t="s">
        <v>141</v>
      </c>
      <c r="Z6" s="59" t="s">
        <v>33</v>
      </c>
    </row>
    <row r="7" spans="2:26" x14ac:dyDescent="0.2">
      <c r="B7">
        <v>1</v>
      </c>
      <c r="C7" s="60" t="s">
        <v>142</v>
      </c>
      <c r="D7" s="61">
        <v>1.5</v>
      </c>
      <c r="E7" s="62">
        <v>1</v>
      </c>
      <c r="F7">
        <v>1</v>
      </c>
      <c r="G7">
        <v>1</v>
      </c>
      <c r="H7">
        <v>1</v>
      </c>
      <c r="I7">
        <v>1</v>
      </c>
      <c r="J7">
        <v>4</v>
      </c>
      <c r="K7" s="63">
        <v>8</v>
      </c>
      <c r="L7" s="63">
        <v>9</v>
      </c>
      <c r="M7" s="64">
        <v>18</v>
      </c>
      <c r="N7">
        <v>0.5</v>
      </c>
      <c r="O7">
        <v>6</v>
      </c>
      <c r="P7">
        <v>0.5</v>
      </c>
      <c r="Q7">
        <v>7.5</v>
      </c>
      <c r="R7">
        <v>1</v>
      </c>
      <c r="S7">
        <v>2</v>
      </c>
      <c r="T7">
        <v>4</v>
      </c>
      <c r="U7">
        <v>1</v>
      </c>
      <c r="V7" s="57">
        <v>1</v>
      </c>
      <c r="W7">
        <f>SUM(D7)</f>
        <v>1.5</v>
      </c>
      <c r="X7">
        <f t="shared" ref="X7:X20" si="0">SUM(E7:M7)</f>
        <v>44</v>
      </c>
      <c r="Y7" s="57">
        <f t="shared" ref="Y7:Y20" si="1">SUM(N7:V7)</f>
        <v>23.5</v>
      </c>
      <c r="Z7" s="57">
        <f>SUM(D7:V7)</f>
        <v>69</v>
      </c>
    </row>
    <row r="8" spans="2:26" x14ac:dyDescent="0.2">
      <c r="B8">
        <v>2</v>
      </c>
      <c r="C8" s="60" t="s">
        <v>143</v>
      </c>
      <c r="D8" s="61">
        <v>1.5</v>
      </c>
      <c r="H8" s="63">
        <v>4</v>
      </c>
      <c r="K8">
        <v>3</v>
      </c>
      <c r="L8">
        <v>1</v>
      </c>
      <c r="M8" s="57"/>
      <c r="N8">
        <v>0.5</v>
      </c>
      <c r="O8">
        <v>6</v>
      </c>
      <c r="Q8">
        <v>7.5</v>
      </c>
      <c r="R8">
        <v>1</v>
      </c>
      <c r="T8">
        <v>4</v>
      </c>
      <c r="U8">
        <v>1</v>
      </c>
      <c r="V8" s="57">
        <v>1</v>
      </c>
      <c r="W8">
        <f>SUM(D8)</f>
        <v>1.5</v>
      </c>
      <c r="X8">
        <f t="shared" si="0"/>
        <v>8</v>
      </c>
      <c r="Y8" s="57">
        <f t="shared" si="1"/>
        <v>21</v>
      </c>
      <c r="Z8" s="57">
        <f>SUM(D8:V8)</f>
        <v>30.5</v>
      </c>
    </row>
    <row r="9" spans="2:26" x14ac:dyDescent="0.2">
      <c r="B9">
        <v>3</v>
      </c>
      <c r="C9" s="60" t="s">
        <v>144</v>
      </c>
      <c r="D9" s="61">
        <v>1.5</v>
      </c>
      <c r="I9" s="63">
        <v>4</v>
      </c>
      <c r="K9">
        <v>3</v>
      </c>
      <c r="L9">
        <v>1</v>
      </c>
      <c r="M9" s="57"/>
      <c r="N9">
        <v>0.5</v>
      </c>
      <c r="O9">
        <v>6</v>
      </c>
      <c r="P9">
        <v>0.5</v>
      </c>
      <c r="Q9">
        <v>7.5</v>
      </c>
      <c r="R9">
        <v>1</v>
      </c>
      <c r="T9">
        <v>4</v>
      </c>
      <c r="U9">
        <v>1</v>
      </c>
      <c r="V9" s="57">
        <v>1</v>
      </c>
      <c r="W9">
        <f>SUM(D9)</f>
        <v>1.5</v>
      </c>
      <c r="X9">
        <f t="shared" si="0"/>
        <v>8</v>
      </c>
      <c r="Y9" s="57">
        <f t="shared" si="1"/>
        <v>21.5</v>
      </c>
      <c r="Z9" s="57">
        <f>SUM(D9:V9)</f>
        <v>31</v>
      </c>
    </row>
    <row r="10" spans="2:26" x14ac:dyDescent="0.2">
      <c r="B10">
        <v>4</v>
      </c>
      <c r="C10" s="60" t="s">
        <v>145</v>
      </c>
      <c r="D10" s="61">
        <v>1.5</v>
      </c>
      <c r="F10" s="63">
        <v>4</v>
      </c>
      <c r="K10">
        <v>3</v>
      </c>
      <c r="L10">
        <v>1</v>
      </c>
      <c r="M10" s="57"/>
      <c r="N10">
        <v>0.5</v>
      </c>
      <c r="O10">
        <v>6</v>
      </c>
      <c r="Q10">
        <v>7.5</v>
      </c>
      <c r="R10">
        <v>1</v>
      </c>
      <c r="T10">
        <v>4</v>
      </c>
      <c r="U10">
        <v>1</v>
      </c>
      <c r="V10" s="57">
        <v>1</v>
      </c>
      <c r="W10">
        <f>SUM(D10)</f>
        <v>1.5</v>
      </c>
      <c r="X10">
        <f t="shared" si="0"/>
        <v>8</v>
      </c>
      <c r="Y10" s="57">
        <f t="shared" si="1"/>
        <v>21</v>
      </c>
      <c r="Z10" s="57">
        <f>SUM(D10:V10)</f>
        <v>30.5</v>
      </c>
    </row>
    <row r="11" spans="2:26" x14ac:dyDescent="0.2">
      <c r="B11">
        <v>5</v>
      </c>
      <c r="C11" s="60" t="s">
        <v>146</v>
      </c>
      <c r="D11" s="61">
        <v>1.5</v>
      </c>
      <c r="E11" s="63">
        <v>2</v>
      </c>
      <c r="K11">
        <v>1</v>
      </c>
      <c r="L11">
        <v>1</v>
      </c>
      <c r="M11" s="57"/>
      <c r="N11">
        <v>3</v>
      </c>
      <c r="O11">
        <v>6</v>
      </c>
      <c r="Q11">
        <v>7.5</v>
      </c>
      <c r="R11">
        <v>1</v>
      </c>
      <c r="T11">
        <v>4</v>
      </c>
      <c r="U11">
        <v>1</v>
      </c>
      <c r="V11" s="57">
        <v>1</v>
      </c>
      <c r="W11">
        <f>SUM(D11)</f>
        <v>1.5</v>
      </c>
      <c r="X11">
        <f t="shared" si="0"/>
        <v>4</v>
      </c>
      <c r="Y11" s="57">
        <f t="shared" si="1"/>
        <v>23.5</v>
      </c>
      <c r="Z11" s="57">
        <f>SUM(D11:V11)</f>
        <v>29</v>
      </c>
    </row>
    <row r="12" spans="2:26" x14ac:dyDescent="0.2">
      <c r="B12" s="65">
        <v>6</v>
      </c>
      <c r="C12" s="66" t="s">
        <v>147</v>
      </c>
      <c r="D12" s="61">
        <v>1.5</v>
      </c>
      <c r="J12" s="63">
        <v>3</v>
      </c>
      <c r="K12">
        <v>2</v>
      </c>
      <c r="L12">
        <v>1</v>
      </c>
      <c r="M12" s="57"/>
      <c r="N12">
        <v>0.5</v>
      </c>
      <c r="O12">
        <v>6</v>
      </c>
      <c r="Q12">
        <v>7.5</v>
      </c>
      <c r="R12">
        <v>1</v>
      </c>
      <c r="S12">
        <v>2</v>
      </c>
      <c r="T12">
        <v>4</v>
      </c>
      <c r="U12">
        <v>1</v>
      </c>
      <c r="V12" s="57">
        <v>1</v>
      </c>
      <c r="W12">
        <f>SUM(D12)</f>
        <v>1.5</v>
      </c>
      <c r="X12">
        <f t="shared" si="0"/>
        <v>6</v>
      </c>
      <c r="Y12" s="57">
        <f t="shared" si="1"/>
        <v>23</v>
      </c>
      <c r="Z12" s="57">
        <f>SUM(D12:V12)</f>
        <v>30.5</v>
      </c>
    </row>
    <row r="13" spans="2:26" x14ac:dyDescent="0.2">
      <c r="B13" s="65">
        <v>7</v>
      </c>
      <c r="C13" s="66" t="s">
        <v>148</v>
      </c>
      <c r="D13" s="61">
        <v>1.5</v>
      </c>
      <c r="E13">
        <v>1</v>
      </c>
      <c r="F13">
        <v>2</v>
      </c>
      <c r="G13" s="63">
        <v>2</v>
      </c>
      <c r="K13">
        <v>2</v>
      </c>
      <c r="L13">
        <v>1</v>
      </c>
      <c r="M13" s="57"/>
      <c r="N13" s="58">
        <v>0.5</v>
      </c>
      <c r="P13">
        <v>3</v>
      </c>
      <c r="T13">
        <v>4</v>
      </c>
      <c r="U13">
        <v>1</v>
      </c>
      <c r="V13" s="57">
        <v>1</v>
      </c>
      <c r="W13">
        <f>SUM(D13)</f>
        <v>1.5</v>
      </c>
      <c r="X13">
        <f t="shared" si="0"/>
        <v>8</v>
      </c>
      <c r="Y13" s="57">
        <f t="shared" si="1"/>
        <v>9.5</v>
      </c>
      <c r="Z13" s="57">
        <f>SUM(D13:V13)</f>
        <v>19</v>
      </c>
    </row>
    <row r="14" spans="2:26" x14ac:dyDescent="0.2">
      <c r="B14" s="65">
        <v>8</v>
      </c>
      <c r="C14" s="66" t="s">
        <v>149</v>
      </c>
      <c r="D14" s="61">
        <v>1.5</v>
      </c>
      <c r="J14">
        <v>3</v>
      </c>
      <c r="K14">
        <v>2</v>
      </c>
      <c r="L14">
        <v>2</v>
      </c>
      <c r="M14" s="57"/>
      <c r="N14" s="58">
        <v>0.5</v>
      </c>
      <c r="O14">
        <v>6</v>
      </c>
      <c r="P14">
        <v>0.5</v>
      </c>
      <c r="Q14">
        <v>7.5</v>
      </c>
      <c r="R14">
        <v>1</v>
      </c>
      <c r="S14">
        <v>2</v>
      </c>
      <c r="T14">
        <v>4</v>
      </c>
      <c r="U14">
        <v>1</v>
      </c>
      <c r="V14" s="57">
        <v>1</v>
      </c>
      <c r="W14">
        <f>SUM(D14)</f>
        <v>1.5</v>
      </c>
      <c r="X14">
        <f t="shared" si="0"/>
        <v>7</v>
      </c>
      <c r="Y14" s="57">
        <f t="shared" si="1"/>
        <v>23.5</v>
      </c>
      <c r="Z14" s="57">
        <f>SUM(D14:V14)</f>
        <v>32</v>
      </c>
    </row>
    <row r="15" spans="2:26" x14ac:dyDescent="0.2">
      <c r="B15">
        <v>9</v>
      </c>
      <c r="C15" s="60" t="s">
        <v>150</v>
      </c>
      <c r="D15" s="61">
        <v>1.5</v>
      </c>
      <c r="J15">
        <v>1</v>
      </c>
      <c r="K15">
        <v>3</v>
      </c>
      <c r="L15">
        <v>1</v>
      </c>
      <c r="M15" s="57">
        <v>1</v>
      </c>
      <c r="N15" s="58">
        <v>0.5</v>
      </c>
      <c r="O15">
        <v>6</v>
      </c>
      <c r="P15">
        <v>0.5</v>
      </c>
      <c r="Q15">
        <v>7.5</v>
      </c>
      <c r="R15">
        <v>1</v>
      </c>
      <c r="T15">
        <v>4</v>
      </c>
      <c r="U15">
        <v>1</v>
      </c>
      <c r="V15" s="57">
        <v>1</v>
      </c>
      <c r="W15">
        <f>SUM(D15)</f>
        <v>1.5</v>
      </c>
      <c r="X15">
        <f t="shared" si="0"/>
        <v>6</v>
      </c>
      <c r="Y15" s="57">
        <f t="shared" si="1"/>
        <v>21.5</v>
      </c>
      <c r="Z15" s="57">
        <f>SUM(D15:V15)</f>
        <v>29</v>
      </c>
    </row>
    <row r="16" spans="2:26" x14ac:dyDescent="0.2">
      <c r="B16">
        <v>10</v>
      </c>
      <c r="C16" s="60" t="s">
        <v>151</v>
      </c>
      <c r="D16" s="61">
        <v>1.5</v>
      </c>
      <c r="G16">
        <v>1</v>
      </c>
      <c r="K16">
        <v>2</v>
      </c>
      <c r="L16">
        <v>1</v>
      </c>
      <c r="M16" s="57">
        <v>1</v>
      </c>
      <c r="N16" s="58">
        <v>0.5</v>
      </c>
      <c r="O16">
        <v>6</v>
      </c>
      <c r="P16">
        <v>0.5</v>
      </c>
      <c r="Q16">
        <v>7.5</v>
      </c>
      <c r="R16">
        <v>1</v>
      </c>
      <c r="T16">
        <v>4</v>
      </c>
      <c r="U16">
        <v>1</v>
      </c>
      <c r="V16" s="57">
        <v>1</v>
      </c>
      <c r="W16">
        <f>SUM(D16)</f>
        <v>1.5</v>
      </c>
      <c r="X16">
        <f t="shared" si="0"/>
        <v>5</v>
      </c>
      <c r="Y16" s="57">
        <f t="shared" si="1"/>
        <v>21.5</v>
      </c>
      <c r="Z16" s="57">
        <f>SUM(D16:V16)</f>
        <v>28</v>
      </c>
    </row>
    <row r="17" spans="2:26" x14ac:dyDescent="0.2">
      <c r="B17">
        <v>11</v>
      </c>
      <c r="C17" s="60" t="s">
        <v>152</v>
      </c>
      <c r="D17" s="61">
        <v>1.5</v>
      </c>
      <c r="H17">
        <v>2</v>
      </c>
      <c r="K17">
        <v>2</v>
      </c>
      <c r="L17">
        <v>1</v>
      </c>
      <c r="M17" s="57">
        <v>1</v>
      </c>
      <c r="N17" s="58">
        <v>0.5</v>
      </c>
      <c r="O17">
        <v>6</v>
      </c>
      <c r="Q17">
        <v>7.5</v>
      </c>
      <c r="R17">
        <v>1</v>
      </c>
      <c r="T17">
        <v>4</v>
      </c>
      <c r="U17">
        <v>1</v>
      </c>
      <c r="V17" s="57">
        <v>1</v>
      </c>
      <c r="W17">
        <f>SUM(D17)</f>
        <v>1.5</v>
      </c>
      <c r="X17">
        <f t="shared" si="0"/>
        <v>6</v>
      </c>
      <c r="Y17" s="57">
        <f t="shared" si="1"/>
        <v>21</v>
      </c>
      <c r="Z17" s="57">
        <f>SUM(D17:V17)</f>
        <v>28.5</v>
      </c>
    </row>
    <row r="18" spans="2:26" x14ac:dyDescent="0.2">
      <c r="B18">
        <v>12</v>
      </c>
      <c r="C18" s="60" t="s">
        <v>153</v>
      </c>
      <c r="D18" s="61">
        <v>1.5</v>
      </c>
      <c r="E18">
        <v>1</v>
      </c>
      <c r="K18">
        <v>2</v>
      </c>
      <c r="L18">
        <v>1</v>
      </c>
      <c r="M18" s="57">
        <v>1</v>
      </c>
      <c r="N18" s="58">
        <v>0.5</v>
      </c>
      <c r="O18">
        <v>6</v>
      </c>
      <c r="P18">
        <v>0.5</v>
      </c>
      <c r="Q18">
        <v>7.5</v>
      </c>
      <c r="R18">
        <v>1</v>
      </c>
      <c r="T18">
        <v>4</v>
      </c>
      <c r="U18">
        <v>1</v>
      </c>
      <c r="V18" s="57">
        <v>1</v>
      </c>
      <c r="W18">
        <f>SUM(D18)</f>
        <v>1.5</v>
      </c>
      <c r="X18">
        <f t="shared" si="0"/>
        <v>5</v>
      </c>
      <c r="Y18" s="57">
        <f t="shared" si="1"/>
        <v>21.5</v>
      </c>
      <c r="Z18" s="57">
        <f>SUM(D18:V18)</f>
        <v>28</v>
      </c>
    </row>
    <row r="19" spans="2:26" x14ac:dyDescent="0.2">
      <c r="B19">
        <v>13</v>
      </c>
      <c r="C19" s="60" t="s">
        <v>154</v>
      </c>
      <c r="D19" s="61">
        <v>1.5</v>
      </c>
      <c r="I19">
        <v>1</v>
      </c>
      <c r="K19">
        <v>2</v>
      </c>
      <c r="L19">
        <v>1</v>
      </c>
      <c r="M19" s="57">
        <v>1</v>
      </c>
      <c r="N19" s="58">
        <v>0.5</v>
      </c>
      <c r="O19">
        <v>6</v>
      </c>
      <c r="Q19">
        <v>7.5</v>
      </c>
      <c r="R19">
        <v>1</v>
      </c>
      <c r="T19">
        <v>4</v>
      </c>
      <c r="U19">
        <v>1</v>
      </c>
      <c r="V19" s="57">
        <v>1</v>
      </c>
      <c r="W19">
        <f>SUM(D19)</f>
        <v>1.5</v>
      </c>
      <c r="X19">
        <f t="shared" si="0"/>
        <v>5</v>
      </c>
      <c r="Y19" s="57">
        <f t="shared" si="1"/>
        <v>21</v>
      </c>
      <c r="Z19" s="57">
        <f>SUM(D19:V19)</f>
        <v>27.5</v>
      </c>
    </row>
    <row r="20" spans="2:26" x14ac:dyDescent="0.2">
      <c r="B20">
        <v>14</v>
      </c>
      <c r="C20" s="60" t="s">
        <v>155</v>
      </c>
      <c r="D20" s="61">
        <v>1.5</v>
      </c>
      <c r="K20">
        <v>2</v>
      </c>
      <c r="L20">
        <v>6</v>
      </c>
      <c r="M20" s="57">
        <v>1</v>
      </c>
      <c r="N20" s="58"/>
      <c r="V20" s="57"/>
      <c r="W20">
        <f>SUM(D20)</f>
        <v>1.5</v>
      </c>
      <c r="X20">
        <f t="shared" si="0"/>
        <v>9</v>
      </c>
      <c r="Y20" s="57">
        <f t="shared" si="1"/>
        <v>0</v>
      </c>
      <c r="Z20" s="57">
        <f>SUM(D20:V20)</f>
        <v>10.5</v>
      </c>
    </row>
    <row r="21" spans="2:26" x14ac:dyDescent="0.2">
      <c r="C21" s="67" t="s">
        <v>33</v>
      </c>
      <c r="D21" s="61">
        <f t="shared" ref="D21:Z21" si="2">SUM(D7:D20)</f>
        <v>21</v>
      </c>
      <c r="E21">
        <f t="shared" si="2"/>
        <v>5</v>
      </c>
      <c r="F21">
        <f t="shared" si="2"/>
        <v>7</v>
      </c>
      <c r="G21">
        <f>SUM(G7:G20)</f>
        <v>4</v>
      </c>
      <c r="H21">
        <f t="shared" si="2"/>
        <v>7</v>
      </c>
      <c r="I21">
        <f t="shared" si="2"/>
        <v>6</v>
      </c>
      <c r="J21">
        <f t="shared" si="2"/>
        <v>11</v>
      </c>
      <c r="K21">
        <f t="shared" si="2"/>
        <v>37</v>
      </c>
      <c r="L21">
        <f>SUM(L7:L20)</f>
        <v>28</v>
      </c>
      <c r="M21" s="57">
        <f t="shared" si="2"/>
        <v>24</v>
      </c>
      <c r="N21">
        <f t="shared" si="2"/>
        <v>9</v>
      </c>
      <c r="O21">
        <f t="shared" si="2"/>
        <v>72</v>
      </c>
      <c r="P21">
        <f>SUM(P7:P20)</f>
        <v>6</v>
      </c>
      <c r="Q21">
        <f t="shared" si="2"/>
        <v>90</v>
      </c>
      <c r="R21">
        <f t="shared" si="2"/>
        <v>12</v>
      </c>
      <c r="S21">
        <f t="shared" si="2"/>
        <v>6</v>
      </c>
      <c r="T21">
        <f t="shared" si="2"/>
        <v>52</v>
      </c>
      <c r="U21">
        <f t="shared" si="2"/>
        <v>13</v>
      </c>
      <c r="V21" s="57">
        <f>SUM(V7:V20)</f>
        <v>13</v>
      </c>
      <c r="W21" s="58">
        <f t="shared" si="2"/>
        <v>21</v>
      </c>
      <c r="X21" s="58">
        <f t="shared" si="2"/>
        <v>129</v>
      </c>
      <c r="Y21" s="58">
        <f t="shared" si="2"/>
        <v>273</v>
      </c>
      <c r="Z21" s="68">
        <f t="shared" si="2"/>
        <v>423</v>
      </c>
    </row>
    <row r="22" spans="2:26" x14ac:dyDescent="0.2">
      <c r="C22" s="67"/>
      <c r="D22" s="69"/>
      <c r="M22" s="70"/>
      <c r="V22" s="70"/>
      <c r="W22" s="58"/>
      <c r="X22" s="58"/>
      <c r="Y22" s="58"/>
    </row>
    <row r="23" spans="2:26" x14ac:dyDescent="0.2">
      <c r="C23" s="67"/>
      <c r="D23" s="69"/>
      <c r="M23" s="70"/>
      <c r="V23" s="70"/>
      <c r="W23" s="58"/>
      <c r="X23" s="58"/>
      <c r="Y23" s="58"/>
    </row>
    <row r="24" spans="2:26" x14ac:dyDescent="0.2">
      <c r="C24" s="67"/>
      <c r="D24" s="69"/>
      <c r="M24" s="70"/>
      <c r="V24" s="70"/>
      <c r="W24" s="58"/>
      <c r="X24" s="58"/>
      <c r="Y24" s="58"/>
      <c r="Z24" s="71"/>
    </row>
    <row r="25" spans="2:26" x14ac:dyDescent="0.2">
      <c r="C25" s="67" t="s">
        <v>156</v>
      </c>
      <c r="D25" s="69"/>
      <c r="E25" t="s">
        <v>157</v>
      </c>
      <c r="F25" t="s">
        <v>158</v>
      </c>
      <c r="G25" t="s">
        <v>159</v>
      </c>
      <c r="H25" t="s">
        <v>160</v>
      </c>
      <c r="I25" t="s">
        <v>161</v>
      </c>
      <c r="J25" t="s">
        <v>162</v>
      </c>
      <c r="K25" t="s">
        <v>163</v>
      </c>
      <c r="L25" t="s">
        <v>164</v>
      </c>
      <c r="M25" s="70" t="s">
        <v>165</v>
      </c>
      <c r="V25" s="70"/>
      <c r="W25" s="58"/>
      <c r="X25" s="58"/>
      <c r="Y25" s="58"/>
      <c r="Z25" s="71"/>
    </row>
    <row r="26" spans="2:26" x14ac:dyDescent="0.2">
      <c r="D26" s="70"/>
      <c r="E26" t="s">
        <v>130</v>
      </c>
      <c r="F26" t="s">
        <v>131</v>
      </c>
      <c r="G26" t="s">
        <v>132</v>
      </c>
      <c r="H26" t="s">
        <v>133</v>
      </c>
      <c r="I26" t="s">
        <v>134</v>
      </c>
      <c r="J26" t="s">
        <v>135</v>
      </c>
      <c r="K26" t="s">
        <v>136</v>
      </c>
      <c r="L26" t="s">
        <v>137</v>
      </c>
      <c r="M26" s="70" t="s">
        <v>138</v>
      </c>
      <c r="N26" s="58" t="s">
        <v>33</v>
      </c>
      <c r="V26" s="70"/>
      <c r="W26" s="58"/>
      <c r="X26" s="58"/>
      <c r="Y26" s="58"/>
      <c r="Z26" s="71"/>
    </row>
    <row r="27" spans="2:26" x14ac:dyDescent="0.2">
      <c r="B27">
        <v>1</v>
      </c>
      <c r="C27" s="60" t="s">
        <v>142</v>
      </c>
      <c r="D27" s="69"/>
      <c r="E27" s="62">
        <f t="shared" ref="E27:L40" si="3">E7+N7</f>
        <v>1.5</v>
      </c>
      <c r="F27" s="62">
        <f t="shared" si="3"/>
        <v>7</v>
      </c>
      <c r="G27" s="62">
        <f t="shared" si="3"/>
        <v>1.5</v>
      </c>
      <c r="H27" s="62">
        <f t="shared" si="3"/>
        <v>8.5</v>
      </c>
      <c r="I27" s="62">
        <f t="shared" si="3"/>
        <v>2</v>
      </c>
      <c r="J27" s="62">
        <f t="shared" si="3"/>
        <v>6</v>
      </c>
      <c r="K27" s="62">
        <f t="shared" si="3"/>
        <v>12</v>
      </c>
      <c r="L27" s="62">
        <f t="shared" si="3"/>
        <v>10</v>
      </c>
      <c r="M27" s="62">
        <f>M7+V7+D7</f>
        <v>20.5</v>
      </c>
      <c r="N27" s="62">
        <f t="shared" ref="N27:N41" si="4">SUM(E27:M27)</f>
        <v>69</v>
      </c>
      <c r="O27" s="72"/>
      <c r="V27" s="70"/>
      <c r="W27" s="58"/>
      <c r="X27" s="58"/>
      <c r="Y27" s="58"/>
      <c r="Z27" s="71"/>
    </row>
    <row r="28" spans="2:26" x14ac:dyDescent="0.2">
      <c r="B28">
        <v>2</v>
      </c>
      <c r="C28" s="60" t="s">
        <v>143</v>
      </c>
      <c r="D28" s="69"/>
      <c r="E28" s="62">
        <f t="shared" si="3"/>
        <v>0.5</v>
      </c>
      <c r="F28" s="62">
        <f t="shared" si="3"/>
        <v>6</v>
      </c>
      <c r="G28" s="62">
        <f t="shared" si="3"/>
        <v>0</v>
      </c>
      <c r="H28" s="62">
        <f t="shared" si="3"/>
        <v>11.5</v>
      </c>
      <c r="I28" s="62">
        <f t="shared" si="3"/>
        <v>1</v>
      </c>
      <c r="J28" s="62">
        <f t="shared" si="3"/>
        <v>0</v>
      </c>
      <c r="K28" s="62">
        <f t="shared" si="3"/>
        <v>7</v>
      </c>
      <c r="L28" s="62">
        <f t="shared" si="3"/>
        <v>2</v>
      </c>
      <c r="M28" s="62">
        <f>M8+V8+D8</f>
        <v>2.5</v>
      </c>
      <c r="N28" s="62">
        <f t="shared" si="4"/>
        <v>30.5</v>
      </c>
      <c r="O28" s="72"/>
      <c r="V28" s="70"/>
      <c r="W28" s="58"/>
      <c r="X28" s="58"/>
      <c r="Y28" s="58"/>
      <c r="Z28" s="71"/>
    </row>
    <row r="29" spans="2:26" x14ac:dyDescent="0.2">
      <c r="B29">
        <v>3</v>
      </c>
      <c r="C29" s="60" t="s">
        <v>144</v>
      </c>
      <c r="D29" s="69"/>
      <c r="E29" s="62">
        <f t="shared" si="3"/>
        <v>0.5</v>
      </c>
      <c r="F29" s="62">
        <f t="shared" si="3"/>
        <v>6</v>
      </c>
      <c r="G29" s="62">
        <f t="shared" si="3"/>
        <v>0.5</v>
      </c>
      <c r="H29" s="62">
        <f t="shared" si="3"/>
        <v>7.5</v>
      </c>
      <c r="I29" s="62">
        <f t="shared" si="3"/>
        <v>5</v>
      </c>
      <c r="J29" s="62">
        <f t="shared" si="3"/>
        <v>0</v>
      </c>
      <c r="K29" s="62">
        <f t="shared" si="3"/>
        <v>7</v>
      </c>
      <c r="L29" s="62">
        <f t="shared" si="3"/>
        <v>2</v>
      </c>
      <c r="M29" s="62">
        <f>M9+V9+D9</f>
        <v>2.5</v>
      </c>
      <c r="N29" s="62">
        <f t="shared" si="4"/>
        <v>31</v>
      </c>
      <c r="O29" s="72"/>
      <c r="V29" s="70"/>
      <c r="W29" s="58"/>
      <c r="X29" s="58"/>
      <c r="Y29" s="58"/>
      <c r="Z29" s="71"/>
    </row>
    <row r="30" spans="2:26" x14ac:dyDescent="0.2">
      <c r="B30">
        <v>4</v>
      </c>
      <c r="C30" s="60" t="s">
        <v>145</v>
      </c>
      <c r="D30" s="69"/>
      <c r="E30" s="62">
        <f t="shared" si="3"/>
        <v>0.5</v>
      </c>
      <c r="F30" s="62">
        <f t="shared" si="3"/>
        <v>10</v>
      </c>
      <c r="G30" s="62">
        <f t="shared" si="3"/>
        <v>0</v>
      </c>
      <c r="H30" s="62">
        <f t="shared" si="3"/>
        <v>7.5</v>
      </c>
      <c r="I30" s="62">
        <f t="shared" si="3"/>
        <v>1</v>
      </c>
      <c r="J30" s="62">
        <f t="shared" si="3"/>
        <v>0</v>
      </c>
      <c r="K30" s="62">
        <f t="shared" si="3"/>
        <v>7</v>
      </c>
      <c r="L30" s="62">
        <f t="shared" si="3"/>
        <v>2</v>
      </c>
      <c r="M30" s="62">
        <f>M10+V10+D10</f>
        <v>2.5</v>
      </c>
      <c r="N30" s="62">
        <f t="shared" si="4"/>
        <v>30.5</v>
      </c>
      <c r="O30" s="72"/>
      <c r="V30" s="70"/>
      <c r="W30" s="58"/>
      <c r="X30" s="58"/>
      <c r="Y30" s="58"/>
      <c r="Z30" s="71"/>
    </row>
    <row r="31" spans="2:26" x14ac:dyDescent="0.2">
      <c r="B31">
        <v>5</v>
      </c>
      <c r="C31" s="60" t="s">
        <v>146</v>
      </c>
      <c r="D31" s="69"/>
      <c r="E31" s="62">
        <f t="shared" si="3"/>
        <v>5</v>
      </c>
      <c r="F31" s="62">
        <f t="shared" si="3"/>
        <v>6</v>
      </c>
      <c r="G31" s="62">
        <f t="shared" si="3"/>
        <v>0</v>
      </c>
      <c r="H31" s="62">
        <f t="shared" si="3"/>
        <v>7.5</v>
      </c>
      <c r="I31" s="62">
        <f t="shared" si="3"/>
        <v>1</v>
      </c>
      <c r="J31" s="62">
        <f t="shared" si="3"/>
        <v>0</v>
      </c>
      <c r="K31" s="62">
        <f t="shared" si="3"/>
        <v>5</v>
      </c>
      <c r="L31" s="62">
        <f t="shared" si="3"/>
        <v>2</v>
      </c>
      <c r="M31" s="62">
        <f>M11+V11+D11</f>
        <v>2.5</v>
      </c>
      <c r="N31" s="62">
        <f t="shared" si="4"/>
        <v>29</v>
      </c>
      <c r="O31" s="72"/>
      <c r="V31" s="70"/>
      <c r="W31" s="58"/>
      <c r="X31" s="58"/>
      <c r="Y31" s="58"/>
      <c r="Z31" s="71"/>
    </row>
    <row r="32" spans="2:26" x14ac:dyDescent="0.2">
      <c r="B32" s="65">
        <v>6</v>
      </c>
      <c r="C32" s="66" t="s">
        <v>147</v>
      </c>
      <c r="D32" s="69"/>
      <c r="E32" s="62">
        <f t="shared" si="3"/>
        <v>0.5</v>
      </c>
      <c r="F32" s="62">
        <f t="shared" si="3"/>
        <v>6</v>
      </c>
      <c r="G32" s="62">
        <f t="shared" si="3"/>
        <v>0</v>
      </c>
      <c r="H32" s="62">
        <f t="shared" si="3"/>
        <v>7.5</v>
      </c>
      <c r="I32" s="62">
        <f t="shared" si="3"/>
        <v>1</v>
      </c>
      <c r="J32" s="62">
        <f t="shared" si="3"/>
        <v>5</v>
      </c>
      <c r="K32" s="62">
        <f t="shared" si="3"/>
        <v>6</v>
      </c>
      <c r="L32" s="62">
        <f t="shared" si="3"/>
        <v>2</v>
      </c>
      <c r="M32" s="62">
        <f>M12+V12+D12</f>
        <v>2.5</v>
      </c>
      <c r="N32" s="62">
        <f t="shared" si="4"/>
        <v>30.5</v>
      </c>
      <c r="O32" s="72"/>
      <c r="V32" s="70"/>
      <c r="W32" s="58"/>
      <c r="X32" s="58"/>
      <c r="Y32" s="58"/>
      <c r="Z32" s="71"/>
    </row>
    <row r="33" spans="2:26" x14ac:dyDescent="0.2">
      <c r="B33" s="65">
        <v>7</v>
      </c>
      <c r="C33" s="66" t="s">
        <v>148</v>
      </c>
      <c r="D33" s="69"/>
      <c r="E33" s="62">
        <f t="shared" si="3"/>
        <v>1.5</v>
      </c>
      <c r="F33" s="62">
        <f t="shared" si="3"/>
        <v>2</v>
      </c>
      <c r="G33" s="62">
        <f t="shared" si="3"/>
        <v>5</v>
      </c>
      <c r="H33" s="62">
        <f t="shared" si="3"/>
        <v>0</v>
      </c>
      <c r="I33" s="62">
        <f t="shared" si="3"/>
        <v>0</v>
      </c>
      <c r="J33" s="62">
        <f t="shared" si="3"/>
        <v>0</v>
      </c>
      <c r="K33" s="62">
        <f t="shared" si="3"/>
        <v>6</v>
      </c>
      <c r="L33" s="62">
        <f t="shared" si="3"/>
        <v>2</v>
      </c>
      <c r="M33" s="62">
        <f>M13+V13+D13</f>
        <v>2.5</v>
      </c>
      <c r="N33" s="62">
        <f t="shared" si="4"/>
        <v>19</v>
      </c>
      <c r="O33" s="72"/>
      <c r="V33" s="70"/>
      <c r="W33" s="58"/>
      <c r="X33" s="58"/>
      <c r="Y33" s="58"/>
      <c r="Z33" s="71"/>
    </row>
    <row r="34" spans="2:26" x14ac:dyDescent="0.2">
      <c r="B34" s="65">
        <v>8</v>
      </c>
      <c r="C34" s="66" t="s">
        <v>149</v>
      </c>
      <c r="D34" s="69"/>
      <c r="E34" s="62">
        <f t="shared" si="3"/>
        <v>0.5</v>
      </c>
      <c r="F34" s="62">
        <f t="shared" si="3"/>
        <v>6</v>
      </c>
      <c r="G34" s="62">
        <f t="shared" si="3"/>
        <v>0.5</v>
      </c>
      <c r="H34" s="62">
        <f t="shared" si="3"/>
        <v>7.5</v>
      </c>
      <c r="I34" s="62">
        <f t="shared" si="3"/>
        <v>1</v>
      </c>
      <c r="J34" s="62">
        <f t="shared" si="3"/>
        <v>5</v>
      </c>
      <c r="K34" s="62">
        <f t="shared" si="3"/>
        <v>6</v>
      </c>
      <c r="L34" s="62">
        <f t="shared" si="3"/>
        <v>3</v>
      </c>
      <c r="M34" s="62">
        <f>M14+V14+D14</f>
        <v>2.5</v>
      </c>
      <c r="N34" s="62">
        <f t="shared" si="4"/>
        <v>32</v>
      </c>
      <c r="O34" s="72"/>
      <c r="V34" s="70"/>
      <c r="W34" s="58"/>
      <c r="X34" s="58"/>
      <c r="Y34" s="58"/>
      <c r="Z34" s="71"/>
    </row>
    <row r="35" spans="2:26" x14ac:dyDescent="0.2">
      <c r="B35">
        <v>9</v>
      </c>
      <c r="C35" s="60" t="s">
        <v>150</v>
      </c>
      <c r="D35" s="69"/>
      <c r="E35" s="62">
        <f t="shared" si="3"/>
        <v>0.5</v>
      </c>
      <c r="F35" s="62">
        <f t="shared" si="3"/>
        <v>6</v>
      </c>
      <c r="G35" s="62">
        <f t="shared" si="3"/>
        <v>0.5</v>
      </c>
      <c r="H35" s="62">
        <f t="shared" si="3"/>
        <v>7.5</v>
      </c>
      <c r="I35" s="62">
        <f t="shared" si="3"/>
        <v>1</v>
      </c>
      <c r="J35" s="62">
        <f t="shared" si="3"/>
        <v>1</v>
      </c>
      <c r="K35" s="62">
        <f t="shared" si="3"/>
        <v>7</v>
      </c>
      <c r="L35" s="62">
        <f t="shared" si="3"/>
        <v>2</v>
      </c>
      <c r="M35" s="62">
        <f>M15+V15+D15</f>
        <v>3.5</v>
      </c>
      <c r="N35" s="62">
        <f t="shared" si="4"/>
        <v>29</v>
      </c>
      <c r="O35" s="72"/>
      <c r="V35" s="70"/>
      <c r="W35" s="58"/>
      <c r="X35" s="58"/>
      <c r="Y35" s="58"/>
      <c r="Z35" s="71"/>
    </row>
    <row r="36" spans="2:26" x14ac:dyDescent="0.2">
      <c r="B36">
        <v>10</v>
      </c>
      <c r="C36" s="60" t="s">
        <v>151</v>
      </c>
      <c r="D36" s="69"/>
      <c r="E36" s="62">
        <f t="shared" si="3"/>
        <v>0.5</v>
      </c>
      <c r="F36" s="62">
        <f t="shared" si="3"/>
        <v>6</v>
      </c>
      <c r="G36" s="62">
        <f t="shared" si="3"/>
        <v>1.5</v>
      </c>
      <c r="H36" s="62">
        <f t="shared" si="3"/>
        <v>7.5</v>
      </c>
      <c r="I36" s="62">
        <f t="shared" si="3"/>
        <v>1</v>
      </c>
      <c r="J36" s="62">
        <f t="shared" si="3"/>
        <v>0</v>
      </c>
      <c r="K36" s="62">
        <f t="shared" si="3"/>
        <v>6</v>
      </c>
      <c r="L36" s="62">
        <f t="shared" si="3"/>
        <v>2</v>
      </c>
      <c r="M36" s="62">
        <f>M16+V16+D16</f>
        <v>3.5</v>
      </c>
      <c r="N36" s="62">
        <f t="shared" si="4"/>
        <v>28</v>
      </c>
      <c r="O36" s="72"/>
      <c r="V36" s="70"/>
      <c r="W36" s="58"/>
      <c r="X36" s="58"/>
      <c r="Y36" s="58"/>
      <c r="Z36" s="71"/>
    </row>
    <row r="37" spans="2:26" x14ac:dyDescent="0.2">
      <c r="B37">
        <v>11</v>
      </c>
      <c r="C37" s="60" t="s">
        <v>152</v>
      </c>
      <c r="D37" s="69"/>
      <c r="E37" s="62">
        <f t="shared" si="3"/>
        <v>0.5</v>
      </c>
      <c r="F37" s="62">
        <f t="shared" si="3"/>
        <v>6</v>
      </c>
      <c r="G37" s="62">
        <f t="shared" si="3"/>
        <v>0</v>
      </c>
      <c r="H37" s="62">
        <f t="shared" si="3"/>
        <v>9.5</v>
      </c>
      <c r="I37" s="62">
        <f t="shared" si="3"/>
        <v>1</v>
      </c>
      <c r="J37" s="62">
        <f t="shared" si="3"/>
        <v>0</v>
      </c>
      <c r="K37" s="62">
        <f t="shared" si="3"/>
        <v>6</v>
      </c>
      <c r="L37" s="62">
        <f t="shared" si="3"/>
        <v>2</v>
      </c>
      <c r="M37" s="62">
        <f>M17+V17+D17</f>
        <v>3.5</v>
      </c>
      <c r="N37" s="62">
        <f t="shared" si="4"/>
        <v>28.5</v>
      </c>
      <c r="O37" s="72"/>
      <c r="V37" s="70"/>
      <c r="W37" s="58"/>
      <c r="X37" s="58"/>
      <c r="Y37" s="58"/>
      <c r="Z37" s="71"/>
    </row>
    <row r="38" spans="2:26" x14ac:dyDescent="0.2">
      <c r="B38">
        <v>12</v>
      </c>
      <c r="C38" s="60" t="s">
        <v>153</v>
      </c>
      <c r="D38" s="69"/>
      <c r="E38" s="62">
        <f t="shared" si="3"/>
        <v>1.5</v>
      </c>
      <c r="F38" s="62">
        <f t="shared" si="3"/>
        <v>6</v>
      </c>
      <c r="G38" s="62">
        <f t="shared" si="3"/>
        <v>0.5</v>
      </c>
      <c r="H38" s="62">
        <f t="shared" si="3"/>
        <v>7.5</v>
      </c>
      <c r="I38" s="62">
        <f t="shared" si="3"/>
        <v>1</v>
      </c>
      <c r="J38" s="62">
        <f t="shared" si="3"/>
        <v>0</v>
      </c>
      <c r="K38" s="62">
        <f t="shared" si="3"/>
        <v>6</v>
      </c>
      <c r="L38" s="62">
        <f t="shared" si="3"/>
        <v>2</v>
      </c>
      <c r="M38" s="62">
        <f>M18+V18+D18</f>
        <v>3.5</v>
      </c>
      <c r="N38" s="62">
        <f t="shared" si="4"/>
        <v>28</v>
      </c>
      <c r="O38" s="72"/>
      <c r="V38" s="70"/>
      <c r="W38" s="58"/>
      <c r="X38" s="58"/>
      <c r="Y38" s="58"/>
      <c r="Z38" s="71"/>
    </row>
    <row r="39" spans="2:26" x14ac:dyDescent="0.2">
      <c r="B39">
        <v>13</v>
      </c>
      <c r="C39" s="60" t="s">
        <v>154</v>
      </c>
      <c r="D39" s="69"/>
      <c r="E39" s="62">
        <f t="shared" si="3"/>
        <v>0.5</v>
      </c>
      <c r="F39" s="62">
        <f t="shared" si="3"/>
        <v>6</v>
      </c>
      <c r="G39" s="62">
        <f t="shared" si="3"/>
        <v>0</v>
      </c>
      <c r="H39" s="62">
        <f t="shared" si="3"/>
        <v>7.5</v>
      </c>
      <c r="I39" s="62">
        <f t="shared" si="3"/>
        <v>2</v>
      </c>
      <c r="J39" s="62">
        <f t="shared" si="3"/>
        <v>0</v>
      </c>
      <c r="K39" s="62">
        <f t="shared" si="3"/>
        <v>6</v>
      </c>
      <c r="L39" s="62">
        <f t="shared" si="3"/>
        <v>2</v>
      </c>
      <c r="M39" s="62">
        <f>M19+V19+D19</f>
        <v>3.5</v>
      </c>
      <c r="N39" s="62">
        <f t="shared" si="4"/>
        <v>27.5</v>
      </c>
      <c r="O39" s="72"/>
      <c r="V39" s="70"/>
      <c r="W39" s="58"/>
      <c r="X39" s="58"/>
      <c r="Y39" s="58"/>
      <c r="Z39" s="71"/>
    </row>
    <row r="40" spans="2:26" x14ac:dyDescent="0.2">
      <c r="B40">
        <v>14</v>
      </c>
      <c r="C40" s="60" t="s">
        <v>155</v>
      </c>
      <c r="D40" s="69"/>
      <c r="E40" s="62">
        <f t="shared" si="3"/>
        <v>0</v>
      </c>
      <c r="F40" s="62">
        <f t="shared" si="3"/>
        <v>0</v>
      </c>
      <c r="G40" s="62">
        <f t="shared" si="3"/>
        <v>0</v>
      </c>
      <c r="H40" s="62">
        <f t="shared" si="3"/>
        <v>0</v>
      </c>
      <c r="I40" s="62">
        <f t="shared" si="3"/>
        <v>0</v>
      </c>
      <c r="J40" s="62">
        <f t="shared" si="3"/>
        <v>0</v>
      </c>
      <c r="K40" s="62">
        <f t="shared" si="3"/>
        <v>2</v>
      </c>
      <c r="L40" s="62">
        <f t="shared" si="3"/>
        <v>6</v>
      </c>
      <c r="M40" s="62">
        <f>M20+V20+D20</f>
        <v>2.5</v>
      </c>
      <c r="N40" s="62">
        <f t="shared" si="4"/>
        <v>10.5</v>
      </c>
      <c r="O40" s="72"/>
      <c r="V40" s="70"/>
      <c r="W40" s="58"/>
      <c r="X40" s="58"/>
      <c r="Y40" s="58"/>
      <c r="Z40" s="71"/>
    </row>
    <row r="41" spans="2:26" x14ac:dyDescent="0.2">
      <c r="C41" s="67" t="s">
        <v>33</v>
      </c>
      <c r="D41" s="69"/>
      <c r="E41">
        <f t="shared" ref="E41:M41" si="5">SUM(E27:E40)</f>
        <v>14</v>
      </c>
      <c r="F41">
        <f t="shared" si="5"/>
        <v>79</v>
      </c>
      <c r="G41">
        <f>SUM(G27:G40)</f>
        <v>10</v>
      </c>
      <c r="H41">
        <f t="shared" si="5"/>
        <v>97</v>
      </c>
      <c r="I41">
        <f t="shared" si="5"/>
        <v>18</v>
      </c>
      <c r="J41">
        <f t="shared" si="5"/>
        <v>17</v>
      </c>
      <c r="K41">
        <f t="shared" si="5"/>
        <v>89</v>
      </c>
      <c r="L41">
        <f t="shared" si="5"/>
        <v>41</v>
      </c>
      <c r="M41">
        <f t="shared" si="5"/>
        <v>58</v>
      </c>
      <c r="N41" s="62">
        <f t="shared" si="4"/>
        <v>423</v>
      </c>
    </row>
    <row r="42" spans="2:26" x14ac:dyDescent="0.2">
      <c r="E42" s="72">
        <f>E41/$Z$21</f>
        <v>3.309692671394799E-2</v>
      </c>
      <c r="F42" s="72">
        <f t="shared" ref="F42:M42" si="6">F41/$Z$21</f>
        <v>0.1867612293144208</v>
      </c>
      <c r="G42" s="72">
        <f t="shared" si="6"/>
        <v>2.3640661938534278E-2</v>
      </c>
      <c r="H42" s="72">
        <f t="shared" si="6"/>
        <v>0.2293144208037825</v>
      </c>
      <c r="I42" s="72">
        <f t="shared" si="6"/>
        <v>4.2553191489361701E-2</v>
      </c>
      <c r="J42" s="72">
        <f t="shared" si="6"/>
        <v>4.0189125295508277E-2</v>
      </c>
      <c r="K42" s="72">
        <f t="shared" si="6"/>
        <v>0.21040189125295508</v>
      </c>
      <c r="L42" s="72">
        <f t="shared" si="6"/>
        <v>9.6926713947990545E-2</v>
      </c>
      <c r="M42" s="72">
        <f t="shared" si="6"/>
        <v>0.13711583924349882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51"/>
  <sheetViews>
    <sheetView topLeftCell="A29" workbookViewId="0">
      <selection activeCell="E55" sqref="E55"/>
    </sheetView>
  </sheetViews>
  <sheetFormatPr baseColWidth="10" defaultColWidth="11" defaultRowHeight="16" x14ac:dyDescent="0.2"/>
  <cols>
    <col min="2" max="2" width="22.33203125" customWidth="1"/>
    <col min="4" max="4" width="17.1640625" customWidth="1"/>
  </cols>
  <sheetData>
    <row r="4" spans="2:8" ht="17" thickBot="1" x14ac:dyDescent="0.25"/>
    <row r="5" spans="2:8" ht="65" thickBot="1" x14ac:dyDescent="0.2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2:8" ht="17" thickBot="1" x14ac:dyDescent="0.25">
      <c r="B6" s="3"/>
      <c r="C6" s="4"/>
      <c r="D6" s="4"/>
      <c r="E6" s="4"/>
      <c r="F6" s="4"/>
      <c r="G6" s="4"/>
      <c r="H6" s="4"/>
    </row>
    <row r="7" spans="2:8" ht="17" thickBot="1" x14ac:dyDescent="0.25">
      <c r="B7" s="3"/>
      <c r="C7" s="4"/>
      <c r="D7" s="4"/>
      <c r="E7" s="4"/>
      <c r="F7" s="4"/>
      <c r="G7" s="4"/>
      <c r="H7" s="4"/>
    </row>
    <row r="8" spans="2:8" ht="17" thickBot="1" x14ac:dyDescent="0.25">
      <c r="B8" s="3"/>
      <c r="C8" s="4"/>
      <c r="D8" s="4"/>
      <c r="E8" s="4"/>
      <c r="F8" s="4"/>
      <c r="G8" s="4"/>
      <c r="H8" s="4"/>
    </row>
    <row r="9" spans="2:8" ht="17" thickBot="1" x14ac:dyDescent="0.25">
      <c r="B9" s="3"/>
      <c r="C9" s="4"/>
      <c r="D9" s="4"/>
      <c r="E9" s="4"/>
      <c r="F9" s="4"/>
      <c r="G9" s="4"/>
      <c r="H9" s="4"/>
    </row>
    <row r="10" spans="2:8" ht="49" thickBot="1" x14ac:dyDescent="0.25">
      <c r="B10" s="5"/>
      <c r="C10" s="6"/>
      <c r="D10" s="6"/>
      <c r="E10" s="6"/>
      <c r="F10" s="7" t="s">
        <v>8</v>
      </c>
      <c r="G10" s="6"/>
      <c r="H10" s="6"/>
    </row>
    <row r="14" spans="2:8" ht="17" thickBot="1" x14ac:dyDescent="0.25"/>
    <row r="15" spans="2:8" ht="32" x14ac:dyDescent="0.2">
      <c r="B15" s="47" t="s">
        <v>9</v>
      </c>
      <c r="C15" s="47" t="s">
        <v>10</v>
      </c>
      <c r="D15" s="47" t="s">
        <v>11</v>
      </c>
      <c r="E15" s="47" t="s">
        <v>12</v>
      </c>
      <c r="F15" s="47" t="s">
        <v>13</v>
      </c>
      <c r="G15" s="47" t="s">
        <v>14</v>
      </c>
      <c r="H15" s="8" t="s">
        <v>15</v>
      </c>
    </row>
    <row r="16" spans="2:8" ht="17" thickBot="1" x14ac:dyDescent="0.25">
      <c r="B16" s="48"/>
      <c r="C16" s="48"/>
      <c r="D16" s="48"/>
      <c r="E16" s="48"/>
      <c r="F16" s="48"/>
      <c r="G16" s="48"/>
      <c r="H16" s="9" t="s">
        <v>16</v>
      </c>
    </row>
    <row r="17" spans="2:8" ht="17" thickBot="1" x14ac:dyDescent="0.25">
      <c r="B17" s="10"/>
      <c r="C17" s="11"/>
      <c r="D17" s="11"/>
      <c r="E17" s="11"/>
      <c r="F17" s="11"/>
      <c r="G17" s="11"/>
      <c r="H17" s="11"/>
    </row>
    <row r="18" spans="2:8" ht="17" thickBot="1" x14ac:dyDescent="0.25">
      <c r="B18" s="10"/>
      <c r="C18" s="11"/>
      <c r="D18" s="11"/>
      <c r="E18" s="11"/>
      <c r="F18" s="11"/>
      <c r="G18" s="11"/>
      <c r="H18" s="11"/>
    </row>
    <row r="19" spans="2:8" ht="17" thickBot="1" x14ac:dyDescent="0.25">
      <c r="B19" s="10"/>
      <c r="C19" s="11"/>
      <c r="D19" s="11"/>
      <c r="E19" s="11"/>
      <c r="F19" s="11"/>
      <c r="G19" s="11"/>
      <c r="H19" s="11"/>
    </row>
    <row r="20" spans="2:8" ht="17" thickBot="1" x14ac:dyDescent="0.25">
      <c r="B20" s="10"/>
      <c r="C20" s="11"/>
      <c r="D20" s="11"/>
      <c r="E20" s="11"/>
      <c r="F20" s="11"/>
      <c r="G20" s="11"/>
      <c r="H20" s="11"/>
    </row>
    <row r="21" spans="2:8" ht="17" thickBot="1" x14ac:dyDescent="0.25">
      <c r="B21" s="10"/>
      <c r="C21" s="11"/>
      <c r="D21" s="11"/>
      <c r="E21" s="11"/>
      <c r="F21" s="11"/>
      <c r="G21" s="11"/>
      <c r="H21" s="11"/>
    </row>
    <row r="32" spans="2:8" ht="17" thickBot="1" x14ac:dyDescent="0.25"/>
    <row r="33" spans="2:6" ht="32" x14ac:dyDescent="0.2">
      <c r="B33" s="49"/>
      <c r="C33" s="47" t="s">
        <v>17</v>
      </c>
      <c r="D33" s="47" t="s">
        <v>18</v>
      </c>
      <c r="E33" s="47" t="s">
        <v>19</v>
      </c>
      <c r="F33" s="12" t="s">
        <v>20</v>
      </c>
    </row>
    <row r="34" spans="2:6" ht="33" thickBot="1" x14ac:dyDescent="0.25">
      <c r="B34" s="50"/>
      <c r="C34" s="48"/>
      <c r="D34" s="48"/>
      <c r="E34" s="48"/>
      <c r="F34" s="13" t="s">
        <v>21</v>
      </c>
    </row>
    <row r="35" spans="2:6" ht="33" thickBot="1" x14ac:dyDescent="0.25">
      <c r="B35" s="39" t="s">
        <v>22</v>
      </c>
      <c r="C35" s="7"/>
      <c r="D35" s="7"/>
      <c r="E35" s="7"/>
      <c r="F35" s="14"/>
    </row>
    <row r="36" spans="2:6" ht="32" x14ac:dyDescent="0.2">
      <c r="B36" s="15" t="s">
        <v>23</v>
      </c>
      <c r="C36" s="55"/>
      <c r="D36" s="55"/>
      <c r="E36" s="55"/>
      <c r="F36" s="53"/>
    </row>
    <row r="37" spans="2:6" ht="17" thickBot="1" x14ac:dyDescent="0.25">
      <c r="B37" s="16" t="s">
        <v>24</v>
      </c>
      <c r="C37" s="56"/>
      <c r="D37" s="56"/>
      <c r="E37" s="56"/>
      <c r="F37" s="54"/>
    </row>
    <row r="38" spans="2:6" ht="32" x14ac:dyDescent="0.2">
      <c r="B38" s="15" t="s">
        <v>25</v>
      </c>
      <c r="C38" s="55"/>
      <c r="D38" s="55"/>
      <c r="E38" s="55"/>
      <c r="F38" s="53"/>
    </row>
    <row r="39" spans="2:6" ht="17" thickBot="1" x14ac:dyDescent="0.25">
      <c r="B39" s="16" t="s">
        <v>24</v>
      </c>
      <c r="C39" s="56"/>
      <c r="D39" s="56"/>
      <c r="E39" s="56"/>
      <c r="F39" s="54"/>
    </row>
    <row r="40" spans="2:6" ht="33" thickBot="1" x14ac:dyDescent="0.25">
      <c r="B40" s="17" t="s">
        <v>26</v>
      </c>
      <c r="C40" s="14"/>
      <c r="D40" s="14"/>
      <c r="E40" s="14"/>
      <c r="F40" s="14"/>
    </row>
    <row r="45" spans="2:6" ht="17" thickBot="1" x14ac:dyDescent="0.25"/>
    <row r="46" spans="2:6" x14ac:dyDescent="0.2">
      <c r="B46" s="51" t="s">
        <v>27</v>
      </c>
      <c r="C46" s="51" t="s">
        <v>28</v>
      </c>
      <c r="D46" s="51" t="s">
        <v>29</v>
      </c>
    </row>
    <row r="47" spans="2:6" ht="17" thickBot="1" x14ac:dyDescent="0.25">
      <c r="B47" s="52"/>
      <c r="C47" s="52"/>
      <c r="D47" s="52"/>
    </row>
    <row r="48" spans="2:6" ht="17" thickBot="1" x14ac:dyDescent="0.25">
      <c r="B48" s="18" t="s">
        <v>30</v>
      </c>
      <c r="C48" s="7"/>
      <c r="D48" s="7"/>
    </row>
    <row r="49" spans="2:4" ht="17" thickBot="1" x14ac:dyDescent="0.25">
      <c r="B49" s="18" t="s">
        <v>31</v>
      </c>
      <c r="C49" s="7"/>
      <c r="D49" s="7"/>
    </row>
    <row r="50" spans="2:4" ht="33" thickBot="1" x14ac:dyDescent="0.25">
      <c r="B50" s="18" t="s">
        <v>32</v>
      </c>
      <c r="C50" s="7"/>
      <c r="D50" s="7"/>
    </row>
    <row r="51" spans="2:4" ht="17" thickBot="1" x14ac:dyDescent="0.25">
      <c r="B51" s="18" t="s">
        <v>33</v>
      </c>
      <c r="C51" s="7"/>
      <c r="D51" s="7"/>
    </row>
  </sheetData>
  <mergeCells count="21">
    <mergeCell ref="B15:B16"/>
    <mergeCell ref="G15:G16"/>
    <mergeCell ref="F15:F16"/>
    <mergeCell ref="E15:E16"/>
    <mergeCell ref="D15:D16"/>
    <mergeCell ref="C15:C16"/>
    <mergeCell ref="F38:F39"/>
    <mergeCell ref="E38:E39"/>
    <mergeCell ref="D38:D39"/>
    <mergeCell ref="C38:C39"/>
    <mergeCell ref="F36:F37"/>
    <mergeCell ref="E36:E37"/>
    <mergeCell ref="D36:D37"/>
    <mergeCell ref="C36:C37"/>
    <mergeCell ref="E33:E34"/>
    <mergeCell ref="D33:D34"/>
    <mergeCell ref="C33:C34"/>
    <mergeCell ref="B33:B34"/>
    <mergeCell ref="D46:D47"/>
    <mergeCell ref="C46:C47"/>
    <mergeCell ref="B46:B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Calendar</vt:lpstr>
      <vt:lpstr>PM</vt:lpstr>
      <vt:lpstr>3.1a 3.1c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cp:keywords/>
  <dc:description/>
  <cp:lastModifiedBy>Usuario de Microsoft Office</cp:lastModifiedBy>
  <cp:revision/>
  <dcterms:created xsi:type="dcterms:W3CDTF">2018-02-15T06:54:12Z</dcterms:created>
  <dcterms:modified xsi:type="dcterms:W3CDTF">2018-02-23T17:20:19Z</dcterms:modified>
  <cp:category/>
  <cp:contentStatus/>
</cp:coreProperties>
</file>