
<file path=[Content_Types].xml><?xml version="1.0" encoding="utf-8"?>
<Types xmlns="http://schemas.openxmlformats.org/package/2006/content-types">
  <Default Extension="xml" ContentType="application/xml"/>
  <Default Extension="bin" ContentType="application/vnd.openxmlformats-officedocument.spreadsheetml.printerSettings"/>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28810"/>
  <workbookPr/>
  <mc:AlternateContent xmlns:mc="http://schemas.openxmlformats.org/markup-compatibility/2006">
    <mc:Choice Requires="x15">
      <x15ac:absPath xmlns:x15ac="http://schemas.microsoft.com/office/spreadsheetml/2010/11/ac" url="/Users/evaanduiza/Dropbox/H2020/Preparacion proyecto/Budget/"/>
    </mc:Choice>
  </mc:AlternateContent>
  <bookViews>
    <workbookView xWindow="120" yWindow="460" windowWidth="24140" windowHeight="13100"/>
  </bookViews>
  <sheets>
    <sheet name="Hoja1" sheetId="1" r:id="rId1"/>
    <sheet name="Hoja2" sheetId="2" r:id="rId2"/>
    <sheet name="Hoja3" sheetId="3" r:id="rId3"/>
  </sheet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I3" i="1" l="1"/>
  <c r="K3" i="1"/>
  <c r="M3" i="1"/>
  <c r="N3" i="1"/>
  <c r="I4" i="1"/>
  <c r="K4" i="1"/>
  <c r="M4" i="1"/>
  <c r="N4" i="1"/>
  <c r="I5" i="1"/>
  <c r="K5" i="1"/>
  <c r="M5" i="1"/>
  <c r="N5" i="1"/>
  <c r="I6" i="1"/>
  <c r="K6" i="1"/>
  <c r="M6" i="1"/>
  <c r="N6" i="1"/>
  <c r="I7" i="1"/>
  <c r="K7" i="1"/>
  <c r="M7" i="1"/>
  <c r="N7" i="1"/>
  <c r="I8" i="1"/>
  <c r="K8" i="1"/>
  <c r="M8" i="1"/>
  <c r="N8" i="1"/>
  <c r="I9" i="1"/>
  <c r="K9" i="1"/>
  <c r="M9" i="1"/>
  <c r="N9" i="1"/>
  <c r="I10" i="1"/>
  <c r="K10" i="1"/>
  <c r="M10" i="1"/>
  <c r="N10" i="1"/>
  <c r="I11" i="1"/>
  <c r="K11" i="1"/>
  <c r="M11" i="1"/>
  <c r="N11" i="1"/>
  <c r="I12" i="1"/>
  <c r="K12" i="1"/>
  <c r="M12" i="1"/>
  <c r="N12" i="1"/>
  <c r="I13" i="1"/>
  <c r="K13" i="1"/>
  <c r="M13" i="1"/>
  <c r="N13" i="1"/>
  <c r="I14" i="1"/>
  <c r="K14" i="1"/>
  <c r="M14" i="1"/>
  <c r="N14" i="1"/>
  <c r="I15" i="1"/>
  <c r="K15" i="1"/>
  <c r="M15" i="1"/>
  <c r="N15" i="1"/>
  <c r="I16" i="1"/>
  <c r="K16" i="1"/>
  <c r="M16" i="1"/>
  <c r="N16" i="1"/>
  <c r="N17" i="1"/>
  <c r="I17" i="1"/>
  <c r="K17" i="1"/>
  <c r="F17" i="1"/>
  <c r="E17" i="1"/>
  <c r="M17" i="1"/>
  <c r="J17" i="1"/>
  <c r="H17" i="1"/>
  <c r="D17" i="1"/>
</calcChain>
</file>

<file path=xl/comments1.xml><?xml version="1.0" encoding="utf-8"?>
<comments xmlns="http://schemas.openxmlformats.org/spreadsheetml/2006/main">
  <authors>
    <author/>
  </authors>
  <commentList>
    <comment ref="D2" authorId="0">
      <text>
        <r>
          <rPr>
            <b/>
            <sz val="9"/>
            <color indexed="8"/>
            <rFont val="Tahoma"/>
            <family val="2"/>
          </rPr>
          <t xml:space="preserve">admin:
</t>
        </r>
        <r>
          <rPr>
            <sz val="9"/>
            <color indexed="8"/>
            <rFont val="Tahoma"/>
            <family val="2"/>
          </rPr>
          <t>See Art. 5, Annotated Model Grant Agreement
(a) for direct personnel costs [(excluding personnel costs for the activities in Point (f))] 6 : 
- as actually incurred costs (‘ actual costs ’) or
-on the basis of an amount per unit calculated by the beneficiary in accordance with its usual cost accounting practices (‘unit costs’).
Personnel costs for SME owners or beneficiaries that are natural persons not receiving a salary (see Article 6.2, Points A.4 and A.5) must be declared on the basis of the amount per unit set out in Annex 2 (unit costs);
For more details see Art. 6.2 A, Annotated Model Grant Agreement</t>
        </r>
      </text>
    </comment>
    <comment ref="E2" authorId="0">
      <text>
        <r>
          <rPr>
            <b/>
            <sz val="9"/>
            <color indexed="8"/>
            <rFont val="Tahoma"/>
            <family val="2"/>
          </rPr>
          <t xml:space="preserve">admin:
</t>
        </r>
        <r>
          <rPr>
            <sz val="9"/>
            <color indexed="8"/>
            <rFont val="Tahoma"/>
            <family val="2"/>
          </rPr>
          <t>Travel, equipment, other goods and services
This field sums up (B) and (E ), because (E ) is also considered as other direct costs. For the calculation of the indirect costs, it is deducted again in (F). This means that the sum in D138 = costs for inkind contribution not used on the beneficiary's premises has to include overhead already, if possible (see annotated grant agreement model)
For more details see Art. 6.2 D, Annotated Model Grant Agreement</t>
        </r>
      </text>
    </comment>
    <comment ref="F2" authorId="0">
      <text>
        <r>
          <rPr>
            <b/>
            <sz val="9"/>
            <color indexed="8"/>
            <rFont val="Tahoma"/>
            <family val="2"/>
          </rPr>
          <t xml:space="preserve">admin:
</t>
        </r>
        <r>
          <rPr>
            <sz val="9"/>
            <color indexed="8"/>
            <rFont val="Tahoma"/>
            <family val="2"/>
          </rPr>
          <t>For more details see Art. 6.2 B &amp; 13, Annotated Model Grant Agreement</t>
        </r>
      </text>
    </comment>
    <comment ref="G2" authorId="0">
      <text>
        <r>
          <rPr>
            <b/>
            <sz val="9"/>
            <color indexed="8"/>
            <rFont val="Tahoma"/>
            <family val="2"/>
          </rPr>
          <t xml:space="preserve">admin:
</t>
        </r>
        <r>
          <rPr>
            <sz val="9"/>
            <color indexed="8"/>
            <rFont val="Tahoma"/>
            <family val="2"/>
          </rPr>
          <t xml:space="preserve">For more details see Art. 8 &amp; 14, Annotated Model Grant Agreement
</t>
        </r>
      </text>
    </comment>
    <comment ref="H2" authorId="0">
      <text>
        <r>
          <rPr>
            <b/>
            <sz val="9"/>
            <color indexed="8"/>
            <rFont val="Tahoma"/>
            <family val="2"/>
          </rPr>
          <t xml:space="preserve">admin:
</t>
        </r>
        <r>
          <rPr>
            <sz val="9"/>
            <color indexed="8"/>
            <rFont val="Tahoma"/>
            <family val="2"/>
          </rPr>
          <t xml:space="preserve">For more details see Art. 8 &amp; 11, Annotated Model Grant Agreement
</t>
        </r>
      </text>
    </comment>
    <comment ref="I2" authorId="0">
      <text>
        <r>
          <rPr>
            <b/>
            <sz val="9"/>
            <color indexed="8"/>
            <rFont val="Tahoma"/>
            <family val="2"/>
          </rPr>
          <t xml:space="preserve">admin:
</t>
        </r>
        <r>
          <rPr>
            <sz val="9"/>
            <color indexed="8"/>
            <rFont val="Tahoma"/>
            <family val="2"/>
          </rPr>
          <t xml:space="preserve">For more details see Art. 6.2 E, Annotated Model Grant Agreement
</t>
        </r>
      </text>
    </comment>
  </commentList>
</comments>
</file>

<file path=xl/sharedStrings.xml><?xml version="1.0" encoding="utf-8"?>
<sst xmlns="http://schemas.openxmlformats.org/spreadsheetml/2006/main" count="42" uniqueCount="42">
  <si>
    <t>Participant</t>
  </si>
  <si>
    <t xml:space="preserve"> name</t>
  </si>
  <si>
    <t>Country</t>
  </si>
  <si>
    <t>(A)</t>
  </si>
  <si>
    <t>(B)</t>
  </si>
  <si>
    <t>(C)</t>
  </si>
  <si>
    <t>(D)</t>
  </si>
  <si>
    <t>(E)</t>
  </si>
  <si>
    <t>(F)</t>
  </si>
  <si>
    <t>(G)</t>
  </si>
  <si>
    <t>(H)</t>
  </si>
  <si>
    <t>(I)</t>
  </si>
  <si>
    <t>(J)</t>
  </si>
  <si>
    <t>(K)</t>
  </si>
  <si>
    <t>Direct personel 
costs / €</t>
  </si>
  <si>
    <t>Other direct costs / €  + costs for inkind contribution not used on the beneficiary's premises</t>
  </si>
  <si>
    <t>Direct costs of sub-contracting / €</t>
  </si>
  <si>
    <t>Direct  
costs of providing financial support to third parties / €</t>
  </si>
  <si>
    <t>Costs of inkind contributions not used on the beneficiary's premises / €</t>
  </si>
  <si>
    <t>Indirect Costs / € (=0.25 (A+B-E))</t>
  </si>
  <si>
    <t>Special unit costs covering direct &amp; indirect costs</t>
  </si>
  <si>
    <t>Total estimated eligible costs / € (=A+B+C+D+F+G)</t>
  </si>
  <si>
    <t>Reimbursement rate</t>
  </si>
  <si>
    <t>Max. Grant / € (=H*I)</t>
  </si>
  <si>
    <t>Requested grant / €</t>
  </si>
  <si>
    <t>in case the project has receipts, deduct them here: (K) - receipts</t>
  </si>
  <si>
    <t>UAB</t>
  </si>
  <si>
    <t>Spain</t>
  </si>
  <si>
    <t>Total</t>
  </si>
  <si>
    <t>Unige</t>
  </si>
  <si>
    <t>Shefield</t>
  </si>
  <si>
    <t>Siegen</t>
  </si>
  <si>
    <t>Salento</t>
  </si>
  <si>
    <t>Bergen</t>
  </si>
  <si>
    <t>Scuola Normale Superiore</t>
  </si>
  <si>
    <t>Leuven</t>
  </si>
  <si>
    <t>Ekke, Athens</t>
  </si>
  <si>
    <t>Charles</t>
  </si>
  <si>
    <t>Lille</t>
  </si>
  <si>
    <t>Warsaw</t>
  </si>
  <si>
    <t>Sofia</t>
  </si>
  <si>
    <t>Eureopan Alternatives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</si>
</sst>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sz val="11"/>
      <color indexed="8"/>
      <name val="Calibri"/>
      <family val="2"/>
    </font>
    <font>
      <sz val="11"/>
      <name val="Calibri"/>
      <family val="2"/>
    </font>
    <font>
      <b/>
      <sz val="9"/>
      <color indexed="8"/>
      <name val="Tahoma"/>
      <family val="2"/>
    </font>
    <font>
      <sz val="9"/>
      <color indexed="8"/>
      <name val="Tahoma"/>
      <family val="2"/>
    </font>
    <font>
      <sz val="12"/>
      <name val="Calibri"/>
      <family val="2"/>
      <scheme val="minor"/>
    </font>
  </fonts>
  <fills count="5">
    <fill>
      <patternFill patternType="none"/>
    </fill>
    <fill>
      <patternFill patternType="gray125"/>
    </fill>
    <fill>
      <patternFill patternType="solid">
        <fgColor indexed="54"/>
        <bgColor indexed="23"/>
      </patternFill>
    </fill>
    <fill>
      <patternFill patternType="solid">
        <fgColor indexed="31"/>
        <bgColor indexed="22"/>
      </patternFill>
    </fill>
    <fill>
      <patternFill patternType="solid">
        <fgColor rgb="FFBDBDFF"/>
        <bgColor indexed="64"/>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8"/>
      </left>
      <right/>
      <top/>
      <bottom style="thin">
        <color indexed="8"/>
      </bottom>
      <diagonal/>
    </border>
    <border>
      <left style="medium">
        <color indexed="8"/>
      </left>
      <right style="thin">
        <color indexed="8"/>
      </right>
      <top style="thin">
        <color indexed="8"/>
      </top>
      <bottom style="thin">
        <color indexed="8"/>
      </bottom>
      <diagonal/>
    </border>
  </borders>
  <cellStyleXfs count="2">
    <xf numFmtId="0" fontId="0" fillId="0" borderId="0"/>
    <xf numFmtId="0" fontId="2" fillId="0" borderId="0"/>
  </cellStyleXfs>
  <cellXfs count="21">
    <xf numFmtId="0" fontId="0" fillId="0" borderId="0" xfId="0"/>
    <xf numFmtId="0" fontId="2" fillId="2" borderId="1" xfId="1" applyFont="1" applyFill="1" applyBorder="1" applyProtection="1">
      <protection locked="0"/>
    </xf>
    <xf numFmtId="0" fontId="2" fillId="0" borderId="2" xfId="1" applyBorder="1" applyProtection="1">
      <protection locked="0"/>
    </xf>
    <xf numFmtId="0" fontId="2" fillId="2" borderId="1" xfId="1" applyFont="1" applyFill="1" applyBorder="1" applyAlignment="1" applyProtection="1">
      <alignment vertical="top" wrapText="1"/>
      <protection locked="0"/>
    </xf>
    <xf numFmtId="0" fontId="2" fillId="3" borderId="1" xfId="1" applyFill="1" applyBorder="1" applyAlignment="1" applyProtection="1">
      <alignment horizontal="center" vertical="center"/>
      <protection locked="0"/>
    </xf>
    <xf numFmtId="0" fontId="2" fillId="3" borderId="3" xfId="1" applyFont="1" applyFill="1" applyBorder="1"/>
    <xf numFmtId="0" fontId="2" fillId="3" borderId="1" xfId="1" applyFont="1" applyFill="1" applyBorder="1" applyAlignment="1" applyProtection="1">
      <alignment horizontal="center"/>
      <protection locked="0"/>
    </xf>
    <xf numFmtId="4" fontId="2" fillId="0" borderId="1" xfId="1" applyNumberFormat="1" applyBorder="1" applyAlignment="1" applyProtection="1">
      <alignment horizontal="center"/>
    </xf>
    <xf numFmtId="0" fontId="2" fillId="0" borderId="1" xfId="1" applyFont="1" applyBorder="1" applyProtection="1">
      <protection locked="0"/>
    </xf>
    <xf numFmtId="0" fontId="6" fillId="0" borderId="0" xfId="0" applyFont="1" applyAlignment="1">
      <alignment vertical="center"/>
    </xf>
    <xf numFmtId="4" fontId="0" fillId="0" borderId="0" xfId="0" applyNumberFormat="1"/>
    <xf numFmtId="3" fontId="1" fillId="0" borderId="0" xfId="0" applyNumberFormat="1" applyFont="1"/>
    <xf numFmtId="3" fontId="2" fillId="0" borderId="1" xfId="1" applyNumberFormat="1" applyBorder="1" applyAlignment="1" applyProtection="1">
      <alignment horizontal="center"/>
    </xf>
    <xf numFmtId="3" fontId="2" fillId="0" borderId="1" xfId="1" applyNumberFormat="1" applyFill="1" applyBorder="1" applyAlignment="1" applyProtection="1">
      <alignment horizontal="center" vertical="center"/>
    </xf>
    <xf numFmtId="3" fontId="2" fillId="0" borderId="1" xfId="1" applyNumberFormat="1" applyFill="1" applyBorder="1" applyAlignment="1" applyProtection="1">
      <alignment horizontal="center"/>
    </xf>
    <xf numFmtId="3" fontId="2" fillId="0" borderId="1" xfId="1" applyNumberFormat="1" applyFill="1" applyBorder="1" applyProtection="1">
      <protection locked="0"/>
    </xf>
    <xf numFmtId="3" fontId="3" fillId="4" borderId="1" xfId="1" applyNumberFormat="1" applyFont="1" applyFill="1" applyBorder="1" applyAlignment="1" applyProtection="1">
      <alignment horizontal="center"/>
    </xf>
    <xf numFmtId="3" fontId="2" fillId="3" borderId="1" xfId="1" applyNumberFormat="1" applyFill="1" applyBorder="1" applyAlignment="1" applyProtection="1">
      <alignment horizontal="center"/>
    </xf>
    <xf numFmtId="3" fontId="2" fillId="3" borderId="1" xfId="1" applyNumberFormat="1" applyFill="1" applyBorder="1" applyProtection="1"/>
    <xf numFmtId="3" fontId="2" fillId="3" borderId="1" xfId="1" applyNumberFormat="1" applyFill="1" applyBorder="1" applyAlignment="1" applyProtection="1">
      <alignment horizontal="center" vertical="center"/>
    </xf>
    <xf numFmtId="3" fontId="3" fillId="3" borderId="1" xfId="1" applyNumberFormat="1" applyFont="1" applyFill="1" applyBorder="1" applyAlignment="1" applyProtection="1">
      <alignment horizontal="center" vertical="center"/>
    </xf>
  </cellXfs>
  <cellStyles count="2">
    <cellStyle name="Excel Built-in Normal" xfId="1"/>
    <cellStyle name="Normal" xfId="0" builtinId="0"/>
  </cellStyles>
  <dxfs count="0"/>
  <tableStyles count="0" defaultTableStyle="TableStyleMedium2" defaultPivotStyle="PivotStyleLight16"/>
  <colors>
    <mruColors>
      <color rgb="FFBDBD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7"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22"/>
  <sheetViews>
    <sheetView tabSelected="1" topLeftCell="B1" workbookViewId="0">
      <selection activeCell="O16" sqref="O16"/>
    </sheetView>
  </sheetViews>
  <sheetFormatPr baseColWidth="10" defaultRowHeight="15" x14ac:dyDescent="0.2"/>
  <cols>
    <col min="2" max="2" width="25.6640625" customWidth="1"/>
    <col min="4" max="4" width="12.6640625" bestFit="1" customWidth="1"/>
    <col min="5" max="6" width="11.5" bestFit="1" customWidth="1"/>
    <col min="8" max="10" width="11.5" bestFit="1" customWidth="1"/>
    <col min="11" max="11" width="12.6640625" bestFit="1" customWidth="1"/>
    <col min="12" max="12" width="11.5" bestFit="1" customWidth="1"/>
    <col min="13" max="14" width="12.6640625" bestFit="1"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2"/>
    </row>
    <row r="2" spans="1:15" ht="135" x14ac:dyDescent="0.2">
      <c r="A2" s="1"/>
      <c r="B2" s="1"/>
      <c r="C2" s="1"/>
      <c r="D2" s="3" t="s">
        <v>14</v>
      </c>
      <c r="E2" s="3" t="s">
        <v>15</v>
      </c>
      <c r="F2" s="3" t="s">
        <v>16</v>
      </c>
      <c r="G2" s="3" t="s">
        <v>17</v>
      </c>
      <c r="H2" s="3" t="s">
        <v>18</v>
      </c>
      <c r="I2" s="3" t="s">
        <v>19</v>
      </c>
      <c r="J2" s="3" t="s">
        <v>20</v>
      </c>
      <c r="K2" s="3" t="s">
        <v>21</v>
      </c>
      <c r="L2" s="3" t="s">
        <v>22</v>
      </c>
      <c r="M2" s="3" t="s">
        <v>23</v>
      </c>
      <c r="N2" s="3" t="s">
        <v>24</v>
      </c>
      <c r="O2" s="3" t="s">
        <v>25</v>
      </c>
    </row>
    <row r="3" spans="1:15" x14ac:dyDescent="0.2">
      <c r="A3" s="4">
        <v>1</v>
      </c>
      <c r="B3" s="5" t="s">
        <v>26</v>
      </c>
      <c r="C3" s="6" t="s">
        <v>27</v>
      </c>
      <c r="D3" s="12">
        <v>229000</v>
      </c>
      <c r="E3" s="12">
        <v>71300</v>
      </c>
      <c r="F3" s="12">
        <v>10000</v>
      </c>
      <c r="G3" s="12"/>
      <c r="H3" s="12"/>
      <c r="I3" s="13">
        <f t="shared" ref="I3:I16" si="0">0.25*(D3+E3-H3)</f>
        <v>75075</v>
      </c>
      <c r="J3" s="12"/>
      <c r="K3" s="14">
        <f t="shared" ref="K3:K16" si="1">D3+E3+F3+I3+J3</f>
        <v>385375</v>
      </c>
      <c r="L3" s="15">
        <v>1</v>
      </c>
      <c r="M3" s="14">
        <f t="shared" ref="M3:M16" si="2">K3*L3</f>
        <v>385375</v>
      </c>
      <c r="N3" s="16">
        <f>M3</f>
        <v>385375</v>
      </c>
      <c r="O3" s="8"/>
    </row>
    <row r="4" spans="1:15" ht="16" x14ac:dyDescent="0.2">
      <c r="A4" s="6">
        <v>2</v>
      </c>
      <c r="B4" s="9" t="s">
        <v>29</v>
      </c>
      <c r="C4" s="6"/>
      <c r="D4" s="12">
        <v>200855.19999999998</v>
      </c>
      <c r="E4" s="12">
        <v>29900</v>
      </c>
      <c r="F4" s="12">
        <v>0</v>
      </c>
      <c r="G4" s="12"/>
      <c r="H4" s="12"/>
      <c r="I4" s="13">
        <f t="shared" si="0"/>
        <v>57688.799999999996</v>
      </c>
      <c r="J4" s="12"/>
      <c r="K4" s="14">
        <f t="shared" si="1"/>
        <v>288444</v>
      </c>
      <c r="L4" s="15">
        <v>1</v>
      </c>
      <c r="M4" s="14">
        <f t="shared" si="2"/>
        <v>288444</v>
      </c>
      <c r="N4" s="16">
        <f t="shared" ref="N4:N16" si="3">M4</f>
        <v>288444</v>
      </c>
      <c r="O4" s="8"/>
    </row>
    <row r="5" spans="1:15" ht="16" x14ac:dyDescent="0.2">
      <c r="A5" s="4">
        <v>3</v>
      </c>
      <c r="B5" s="9" t="s">
        <v>30</v>
      </c>
      <c r="C5" s="6"/>
      <c r="D5" s="12">
        <v>132692</v>
      </c>
      <c r="E5" s="12">
        <v>30900</v>
      </c>
      <c r="F5" s="12">
        <v>180000</v>
      </c>
      <c r="G5" s="12"/>
      <c r="H5" s="12"/>
      <c r="I5" s="13">
        <f t="shared" si="0"/>
        <v>40898</v>
      </c>
      <c r="J5" s="12"/>
      <c r="K5" s="14">
        <f t="shared" si="1"/>
        <v>384490</v>
      </c>
      <c r="L5" s="15">
        <v>1</v>
      </c>
      <c r="M5" s="14">
        <f t="shared" si="2"/>
        <v>384490</v>
      </c>
      <c r="N5" s="16">
        <f t="shared" si="3"/>
        <v>384490</v>
      </c>
      <c r="O5" s="8"/>
    </row>
    <row r="6" spans="1:15" ht="16" x14ac:dyDescent="0.2">
      <c r="A6" s="6">
        <v>4</v>
      </c>
      <c r="B6" s="9" t="s">
        <v>31</v>
      </c>
      <c r="C6" s="6"/>
      <c r="D6" s="12">
        <v>179416.66666666666</v>
      </c>
      <c r="E6" s="12">
        <v>29900</v>
      </c>
      <c r="F6" s="12">
        <v>0</v>
      </c>
      <c r="G6" s="12"/>
      <c r="H6" s="12"/>
      <c r="I6" s="13">
        <f t="shared" si="0"/>
        <v>52329.166666666664</v>
      </c>
      <c r="J6" s="12"/>
      <c r="K6" s="14">
        <f t="shared" si="1"/>
        <v>261645.83333333331</v>
      </c>
      <c r="L6" s="15">
        <v>1</v>
      </c>
      <c r="M6" s="14">
        <f t="shared" si="2"/>
        <v>261645.83333333331</v>
      </c>
      <c r="N6" s="16">
        <f t="shared" si="3"/>
        <v>261645.83333333331</v>
      </c>
      <c r="O6" s="8"/>
    </row>
    <row r="7" spans="1:15" ht="16" x14ac:dyDescent="0.2">
      <c r="A7" s="4">
        <v>5</v>
      </c>
      <c r="B7" s="9" t="s">
        <v>32</v>
      </c>
      <c r="C7" s="6"/>
      <c r="D7" s="12">
        <v>87927.666666666672</v>
      </c>
      <c r="E7" s="12">
        <v>26900</v>
      </c>
      <c r="F7" s="12">
        <v>0</v>
      </c>
      <c r="G7" s="12"/>
      <c r="H7" s="12"/>
      <c r="I7" s="13">
        <f t="shared" si="0"/>
        <v>28706.916666666668</v>
      </c>
      <c r="J7" s="12"/>
      <c r="K7" s="14">
        <f t="shared" si="1"/>
        <v>143534.58333333334</v>
      </c>
      <c r="L7" s="15">
        <v>1</v>
      </c>
      <c r="M7" s="14">
        <f t="shared" si="2"/>
        <v>143534.58333333334</v>
      </c>
      <c r="N7" s="16">
        <f t="shared" si="3"/>
        <v>143534.58333333334</v>
      </c>
      <c r="O7" s="8"/>
    </row>
    <row r="8" spans="1:15" ht="16" x14ac:dyDescent="0.2">
      <c r="A8" s="6">
        <v>6</v>
      </c>
      <c r="B8" s="9" t="s">
        <v>33</v>
      </c>
      <c r="C8" s="6"/>
      <c r="D8" s="12">
        <v>170834</v>
      </c>
      <c r="E8" s="12">
        <v>54900</v>
      </c>
      <c r="F8" s="12">
        <v>15000</v>
      </c>
      <c r="G8" s="12"/>
      <c r="H8" s="12"/>
      <c r="I8" s="13">
        <f t="shared" si="0"/>
        <v>56433.5</v>
      </c>
      <c r="J8" s="12"/>
      <c r="K8" s="14">
        <f t="shared" si="1"/>
        <v>297167.5</v>
      </c>
      <c r="L8" s="15">
        <v>1</v>
      </c>
      <c r="M8" s="14">
        <f t="shared" si="2"/>
        <v>297167.5</v>
      </c>
      <c r="N8" s="16">
        <f t="shared" si="3"/>
        <v>297167.5</v>
      </c>
      <c r="O8" s="8"/>
    </row>
    <row r="9" spans="1:15" ht="16" x14ac:dyDescent="0.2">
      <c r="A9" s="4">
        <v>7</v>
      </c>
      <c r="B9" s="9" t="s">
        <v>34</v>
      </c>
      <c r="C9" s="6"/>
      <c r="D9" s="12">
        <v>94375</v>
      </c>
      <c r="E9" s="12">
        <v>41900</v>
      </c>
      <c r="F9" s="12">
        <v>0</v>
      </c>
      <c r="G9" s="12"/>
      <c r="H9" s="12"/>
      <c r="I9" s="13">
        <f t="shared" si="0"/>
        <v>34068.75</v>
      </c>
      <c r="J9" s="12"/>
      <c r="K9" s="14">
        <f t="shared" si="1"/>
        <v>170343.75</v>
      </c>
      <c r="L9" s="15">
        <v>1</v>
      </c>
      <c r="M9" s="14">
        <f t="shared" si="2"/>
        <v>170343.75</v>
      </c>
      <c r="N9" s="16">
        <f t="shared" si="3"/>
        <v>170343.75</v>
      </c>
      <c r="O9" s="8"/>
    </row>
    <row r="10" spans="1:15" ht="16" x14ac:dyDescent="0.2">
      <c r="A10" s="6">
        <v>8</v>
      </c>
      <c r="B10" s="9" t="s">
        <v>35</v>
      </c>
      <c r="C10" s="6"/>
      <c r="D10" s="12">
        <v>153200</v>
      </c>
      <c r="E10" s="12">
        <v>31400</v>
      </c>
      <c r="F10" s="12">
        <v>20000</v>
      </c>
      <c r="G10" s="12"/>
      <c r="H10" s="12"/>
      <c r="I10" s="13">
        <f t="shared" si="0"/>
        <v>46150</v>
      </c>
      <c r="J10" s="12"/>
      <c r="K10" s="14">
        <f t="shared" si="1"/>
        <v>250750</v>
      </c>
      <c r="L10" s="15">
        <v>1</v>
      </c>
      <c r="M10" s="14">
        <f t="shared" si="2"/>
        <v>250750</v>
      </c>
      <c r="N10" s="16">
        <f t="shared" si="3"/>
        <v>250750</v>
      </c>
      <c r="O10" s="8"/>
    </row>
    <row r="11" spans="1:15" ht="16" x14ac:dyDescent="0.2">
      <c r="A11" s="6">
        <v>9</v>
      </c>
      <c r="B11" s="9" t="s">
        <v>36</v>
      </c>
      <c r="C11" s="6"/>
      <c r="D11" s="12">
        <v>70466</v>
      </c>
      <c r="E11" s="12">
        <v>33600</v>
      </c>
      <c r="F11" s="12">
        <v>0</v>
      </c>
      <c r="G11" s="12"/>
      <c r="H11" s="12"/>
      <c r="I11" s="13">
        <f t="shared" si="0"/>
        <v>26016.5</v>
      </c>
      <c r="J11" s="12"/>
      <c r="K11" s="14">
        <f t="shared" si="1"/>
        <v>130082.5</v>
      </c>
      <c r="L11" s="15">
        <v>1</v>
      </c>
      <c r="M11" s="14">
        <f t="shared" si="2"/>
        <v>130082.5</v>
      </c>
      <c r="N11" s="16">
        <f t="shared" si="3"/>
        <v>130082.5</v>
      </c>
      <c r="O11" s="7"/>
    </row>
    <row r="12" spans="1:15" ht="16" x14ac:dyDescent="0.2">
      <c r="A12" s="6">
        <v>10</v>
      </c>
      <c r="B12" s="9" t="s">
        <v>37</v>
      </c>
      <c r="C12" s="6"/>
      <c r="D12" s="12">
        <v>110625</v>
      </c>
      <c r="E12" s="12">
        <v>31400</v>
      </c>
      <c r="F12" s="12">
        <v>0</v>
      </c>
      <c r="G12" s="12"/>
      <c r="H12" s="12"/>
      <c r="I12" s="13">
        <f t="shared" si="0"/>
        <v>35506.25</v>
      </c>
      <c r="J12" s="12"/>
      <c r="K12" s="14">
        <f t="shared" si="1"/>
        <v>177531.25</v>
      </c>
      <c r="L12" s="15">
        <v>1</v>
      </c>
      <c r="M12" s="14">
        <f t="shared" si="2"/>
        <v>177531.25</v>
      </c>
      <c r="N12" s="16">
        <f t="shared" si="3"/>
        <v>177531.25</v>
      </c>
      <c r="O12" s="7"/>
    </row>
    <row r="13" spans="1:15" ht="16" x14ac:dyDescent="0.2">
      <c r="A13" s="6">
        <v>11</v>
      </c>
      <c r="B13" s="9" t="s">
        <v>38</v>
      </c>
      <c r="C13" s="6"/>
      <c r="D13" s="12">
        <v>106993</v>
      </c>
      <c r="E13" s="12">
        <v>31400</v>
      </c>
      <c r="F13" s="12">
        <v>0</v>
      </c>
      <c r="G13" s="12"/>
      <c r="H13" s="12"/>
      <c r="I13" s="13">
        <f t="shared" si="0"/>
        <v>34598.25</v>
      </c>
      <c r="J13" s="12"/>
      <c r="K13" s="14">
        <f t="shared" si="1"/>
        <v>172991.25</v>
      </c>
      <c r="L13" s="15">
        <v>1</v>
      </c>
      <c r="M13" s="14">
        <f t="shared" si="2"/>
        <v>172991.25</v>
      </c>
      <c r="N13" s="16">
        <f t="shared" si="3"/>
        <v>172991.25</v>
      </c>
      <c r="O13" s="7"/>
    </row>
    <row r="14" spans="1:15" ht="16" x14ac:dyDescent="0.2">
      <c r="A14" s="6">
        <v>12</v>
      </c>
      <c r="B14" s="9" t="s">
        <v>39</v>
      </c>
      <c r="C14" s="6"/>
      <c r="D14" s="12">
        <v>59500</v>
      </c>
      <c r="E14" s="12">
        <v>31400</v>
      </c>
      <c r="F14" s="12">
        <v>0</v>
      </c>
      <c r="G14" s="12"/>
      <c r="H14" s="12"/>
      <c r="I14" s="13">
        <f t="shared" si="0"/>
        <v>22725</v>
      </c>
      <c r="J14" s="12"/>
      <c r="K14" s="14">
        <f t="shared" si="1"/>
        <v>113625</v>
      </c>
      <c r="L14" s="15">
        <v>1</v>
      </c>
      <c r="M14" s="14">
        <f t="shared" si="2"/>
        <v>113625</v>
      </c>
      <c r="N14" s="16">
        <f t="shared" si="3"/>
        <v>113625</v>
      </c>
      <c r="O14" s="7"/>
    </row>
    <row r="15" spans="1:15" ht="16" x14ac:dyDescent="0.2">
      <c r="A15" s="6">
        <v>13</v>
      </c>
      <c r="B15" s="9" t="s">
        <v>40</v>
      </c>
      <c r="C15" s="6"/>
      <c r="D15" s="12">
        <v>82333.333333333328</v>
      </c>
      <c r="E15" s="12">
        <v>33600</v>
      </c>
      <c r="F15" s="12">
        <v>0</v>
      </c>
      <c r="G15" s="12"/>
      <c r="H15" s="12"/>
      <c r="I15" s="13">
        <f t="shared" si="0"/>
        <v>28983.333333333332</v>
      </c>
      <c r="J15" s="12"/>
      <c r="K15" s="14">
        <f t="shared" si="1"/>
        <v>144916.66666666666</v>
      </c>
      <c r="L15" s="15">
        <v>1</v>
      </c>
      <c r="M15" s="14">
        <f t="shared" si="2"/>
        <v>144916.66666666666</v>
      </c>
      <c r="N15" s="16">
        <f t="shared" si="3"/>
        <v>144916.66666666666</v>
      </c>
      <c r="O15" s="7"/>
    </row>
    <row r="16" spans="1:15" ht="16" x14ac:dyDescent="0.2">
      <c r="A16" s="6">
        <v>14</v>
      </c>
      <c r="B16" s="9" t="s">
        <v>41</v>
      </c>
      <c r="C16" s="6"/>
      <c r="D16" s="12">
        <v>57600</v>
      </c>
      <c r="E16" s="12">
        <v>32900</v>
      </c>
      <c r="F16" s="12">
        <v>0</v>
      </c>
      <c r="G16" s="12"/>
      <c r="H16" s="12"/>
      <c r="I16" s="13">
        <f t="shared" si="0"/>
        <v>22625</v>
      </c>
      <c r="J16" s="12"/>
      <c r="K16" s="14">
        <f t="shared" si="1"/>
        <v>113125</v>
      </c>
      <c r="L16" s="15">
        <v>1</v>
      </c>
      <c r="M16" s="14">
        <f t="shared" si="2"/>
        <v>113125</v>
      </c>
      <c r="N16" s="16">
        <f t="shared" si="3"/>
        <v>113125</v>
      </c>
      <c r="O16" s="7"/>
    </row>
    <row r="17" spans="1:15" x14ac:dyDescent="0.2">
      <c r="A17" s="8" t="s">
        <v>28</v>
      </c>
      <c r="B17" s="8"/>
      <c r="C17" s="8"/>
      <c r="D17" s="17">
        <f>SUM(D3:D16)</f>
        <v>1735817.8666666665</v>
      </c>
      <c r="E17" s="17">
        <f>SUM(E3:E16)</f>
        <v>511400</v>
      </c>
      <c r="F17" s="17">
        <f>SUM(F3:F16)</f>
        <v>225000</v>
      </c>
      <c r="G17" s="18"/>
      <c r="H17" s="17">
        <f>SUM(H3:H16)</f>
        <v>0</v>
      </c>
      <c r="I17" s="17">
        <f>SUM(I3:I16)</f>
        <v>561804.46666666667</v>
      </c>
      <c r="J17" s="19">
        <f>SUM(J3:J16)</f>
        <v>0</v>
      </c>
      <c r="K17" s="17">
        <f>SUM(K3:K16)</f>
        <v>3034022.333333333</v>
      </c>
      <c r="L17" s="18"/>
      <c r="M17" s="17">
        <f>SUM(M3:M16)</f>
        <v>3034022.333333333</v>
      </c>
      <c r="N17" s="20">
        <f>SUM(N3:N16)</f>
        <v>3034022.333333333</v>
      </c>
      <c r="O17" s="8"/>
    </row>
    <row r="21" spans="1:15" x14ac:dyDescent="0.2">
      <c r="D21" s="10"/>
    </row>
    <row r="22" spans="1:15" x14ac:dyDescent="0.2">
      <c r="E22" s="10"/>
      <c r="G22" s="11"/>
      <c r="H22" s="11"/>
    </row>
  </sheetData>
  <pageMargins left="0.7" right="0.7" top="0.75" bottom="0.75" header="0.3" footer="0.3"/>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Company>UAB</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Renovi</dc:creator>
  <cp:lastModifiedBy>Usuario de Microsoft Office</cp:lastModifiedBy>
  <dcterms:created xsi:type="dcterms:W3CDTF">2018-03-09T12:06:30Z</dcterms:created>
  <dcterms:modified xsi:type="dcterms:W3CDTF">2018-03-09T13:00:21Z</dcterms:modified>
</cp:coreProperties>
</file>