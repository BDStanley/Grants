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/>
  <bookViews>
    <workbookView xWindow="0" yWindow="0" windowWidth="15360" windowHeight="7755" tabRatio="786"/>
  </bookViews>
  <sheets>
    <sheet name="Partner 1 - UU REBO" sheetId="41" r:id="rId1"/>
    <sheet name="Partner 10" sheetId="33" state="hidden" r:id="rId2"/>
    <sheet name="PM Overview" sheetId="14" state="hidden" r:id="rId3"/>
    <sheet name="table 1.3e SummaryStaffEffort " sheetId="15" state="hidden" r:id="rId4"/>
    <sheet name="Workpackage overview" sheetId="13" state="hidden" r:id="rId5"/>
    <sheet name="gantt chart-simple" sheetId="16" state="hidden" r:id="rId6"/>
    <sheet name="gantt-elaborate" sheetId="11" state="hidden" r:id="rId7"/>
  </sheets>
  <definedNames>
    <definedName name="_xlnm._FilterDatabase" localSheetId="6" hidden="1">'gantt-elaborate'!$A$34:$AU$73</definedName>
    <definedName name="_xlnm._FilterDatabase" localSheetId="2" hidden="1">'PM Overview'!$A$37:$I$74</definedName>
    <definedName name="_Hlk283905964" localSheetId="3">'table 1.3e SummaryStaffEffort '!$A$4</definedName>
    <definedName name="_xlnm.Print_Area" localSheetId="6">'gantt-elaborate'!$A$1:$AT$73</definedName>
    <definedName name="_xlnm.Print_Area" localSheetId="0">'Partner 1 - UU REBO'!$A$1:$N$42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9" i="41" l="1"/>
  <c r="H39" i="41"/>
  <c r="J39" i="41" s="1"/>
  <c r="M38" i="41"/>
  <c r="H38" i="41"/>
  <c r="H37" i="41" s="1"/>
  <c r="M37" i="41"/>
  <c r="L37" i="41"/>
  <c r="K37" i="41"/>
  <c r="I37" i="41"/>
  <c r="L36" i="41"/>
  <c r="M36" i="41" s="1"/>
  <c r="J36" i="41"/>
  <c r="L35" i="41"/>
  <c r="J35" i="41"/>
  <c r="J33" i="41" s="1"/>
  <c r="M34" i="41"/>
  <c r="L34" i="41"/>
  <c r="J34" i="41"/>
  <c r="K33" i="41"/>
  <c r="I33" i="41"/>
  <c r="H33" i="41"/>
  <c r="H32" i="41"/>
  <c r="I32" i="41" s="1"/>
  <c r="J32" i="41" s="1"/>
  <c r="H31" i="41"/>
  <c r="M30" i="41"/>
  <c r="L30" i="41"/>
  <c r="H30" i="41"/>
  <c r="I30" i="41" s="1"/>
  <c r="J30" i="41" s="1"/>
  <c r="L29" i="41"/>
  <c r="M29" i="41" s="1"/>
  <c r="H29" i="41"/>
  <c r="L28" i="41"/>
  <c r="H28" i="41"/>
  <c r="K27" i="41"/>
  <c r="I26" i="41"/>
  <c r="J26" i="41" s="1"/>
  <c r="H26" i="41"/>
  <c r="H25" i="41"/>
  <c r="H24" i="41"/>
  <c r="H23" i="41"/>
  <c r="I23" i="41" s="1"/>
  <c r="H22" i="41"/>
  <c r="L21" i="41"/>
  <c r="L20" i="41" s="1"/>
  <c r="H21" i="41"/>
  <c r="K20" i="41"/>
  <c r="L18" i="41"/>
  <c r="M18" i="41" s="1"/>
  <c r="H17" i="41"/>
  <c r="H16" i="41"/>
  <c r="H15" i="41"/>
  <c r="L13" i="41"/>
  <c r="M13" i="41" s="1"/>
  <c r="H13" i="41"/>
  <c r="M12" i="41"/>
  <c r="L12" i="41"/>
  <c r="K12" i="41"/>
  <c r="D7" i="41"/>
  <c r="B12" i="41" s="1"/>
  <c r="B37" i="41" s="1"/>
  <c r="C7" i="41"/>
  <c r="K40" i="41" l="1"/>
  <c r="K41" i="41" s="1"/>
  <c r="L33" i="41"/>
  <c r="L27" i="41"/>
  <c r="L40" i="41" s="1"/>
  <c r="I29" i="41"/>
  <c r="J29" i="41" s="1"/>
  <c r="I24" i="41"/>
  <c r="J24" i="41" s="1"/>
  <c r="I16" i="41"/>
  <c r="J16" i="41" s="1"/>
  <c r="I21" i="41"/>
  <c r="H20" i="41"/>
  <c r="I13" i="41"/>
  <c r="J13" i="41" s="1"/>
  <c r="I15" i="41"/>
  <c r="J15" i="41" s="1"/>
  <c r="I17" i="41"/>
  <c r="J17" i="41" s="1"/>
  <c r="H18" i="41"/>
  <c r="I22" i="41"/>
  <c r="J22" i="41" s="1"/>
  <c r="I25" i="41"/>
  <c r="J25" i="41" s="1"/>
  <c r="M28" i="41"/>
  <c r="M27" i="41" s="1"/>
  <c r="I31" i="41"/>
  <c r="J31" i="41" s="1"/>
  <c r="B20" i="41"/>
  <c r="M21" i="41"/>
  <c r="M20" i="41" s="1"/>
  <c r="M40" i="41" s="1"/>
  <c r="J23" i="41"/>
  <c r="B27" i="41"/>
  <c r="I28" i="41"/>
  <c r="B33" i="41"/>
  <c r="M35" i="41"/>
  <c r="M33" i="41" s="1"/>
  <c r="J38" i="41"/>
  <c r="J37" i="41" s="1"/>
  <c r="G12" i="41"/>
  <c r="H14" i="41"/>
  <c r="H27" i="41"/>
  <c r="I27" i="41" l="1"/>
  <c r="J28" i="41"/>
  <c r="J27" i="41" s="1"/>
  <c r="I20" i="41"/>
  <c r="I14" i="41"/>
  <c r="H12" i="41"/>
  <c r="J21" i="41"/>
  <c r="J20" i="41" s="1"/>
  <c r="I18" i="41"/>
  <c r="J18" i="41" s="1"/>
  <c r="I12" i="41" l="1"/>
  <c r="I40" i="41" s="1"/>
  <c r="J14" i="41"/>
  <c r="J12" i="41" s="1"/>
  <c r="J40" i="41" s="1"/>
  <c r="H40" i="41"/>
  <c r="H41" i="41" l="1"/>
  <c r="G24" i="33"/>
  <c r="F26" i="33"/>
  <c r="F27" i="33"/>
  <c r="G20" i="33"/>
  <c r="E30" i="33"/>
  <c r="F30" i="33"/>
  <c r="G30" i="33"/>
  <c r="E31" i="33"/>
  <c r="F31" i="33"/>
  <c r="G31" i="33"/>
  <c r="G29" i="33"/>
  <c r="E29" i="33"/>
  <c r="E23" i="33"/>
  <c r="E24" i="33"/>
  <c r="E25" i="33"/>
  <c r="E26" i="33"/>
  <c r="E27" i="33"/>
  <c r="E22" i="33"/>
  <c r="E17" i="33"/>
  <c r="E18" i="33"/>
  <c r="E19" i="33"/>
  <c r="E20" i="33"/>
  <c r="E16" i="33"/>
  <c r="C5" i="33"/>
  <c r="A4" i="33"/>
  <c r="A2" i="33"/>
  <c r="F12" i="33"/>
  <c r="G12" i="33"/>
  <c r="F13" i="33"/>
  <c r="G13" i="33"/>
  <c r="H14" i="33"/>
  <c r="I14" i="33" s="1"/>
  <c r="J30" i="33"/>
  <c r="J31" i="33"/>
  <c r="H28" i="33"/>
  <c r="B40" i="33" s="1"/>
  <c r="I28" i="33"/>
  <c r="C43" i="33"/>
  <c r="C6" i="33"/>
  <c r="D37" i="33" s="1"/>
  <c r="D6" i="33"/>
  <c r="E37" i="33" s="1"/>
  <c r="B6" i="33"/>
  <c r="C37" i="33" s="1"/>
  <c r="D44" i="33"/>
  <c r="J28" i="33"/>
  <c r="C44" i="33"/>
  <c r="B37" i="33"/>
  <c r="C39" i="33"/>
  <c r="D39" i="33"/>
  <c r="C40" i="33"/>
  <c r="D40" i="33"/>
  <c r="E40" i="33"/>
  <c r="C41" i="33"/>
  <c r="D41" i="33"/>
  <c r="C42" i="33"/>
  <c r="D4" i="14"/>
  <c r="E4" i="14"/>
  <c r="F4" i="14"/>
  <c r="G4" i="14"/>
  <c r="H4" i="14"/>
  <c r="I4" i="14"/>
  <c r="J5" i="15"/>
  <c r="J10" i="15" s="1"/>
  <c r="J6" i="15"/>
  <c r="J7" i="15"/>
  <c r="J8" i="15"/>
  <c r="J9" i="15"/>
  <c r="B10" i="15"/>
  <c r="C10" i="15"/>
  <c r="D10" i="15"/>
  <c r="E10" i="15"/>
  <c r="F10" i="15"/>
  <c r="G10" i="15"/>
  <c r="H10" i="15"/>
  <c r="I10" i="15"/>
  <c r="H3" i="13"/>
  <c r="H4" i="13"/>
  <c r="H5" i="13"/>
  <c r="H6" i="13"/>
  <c r="H7" i="13"/>
  <c r="H8" i="13"/>
  <c r="C9" i="13"/>
  <c r="H9" i="13" s="1"/>
  <c r="H21" i="13" s="1"/>
  <c r="D9" i="13"/>
  <c r="E9" i="13"/>
  <c r="F9" i="13"/>
  <c r="F21" i="13" s="1"/>
  <c r="G9" i="13"/>
  <c r="H17" i="13"/>
  <c r="H18" i="13"/>
  <c r="E18" i="13"/>
  <c r="E21" i="13"/>
  <c r="G18" i="13"/>
  <c r="G21" i="13" s="1"/>
  <c r="C18" i="13"/>
  <c r="D18" i="13"/>
  <c r="F18" i="13"/>
  <c r="D21" i="13"/>
  <c r="AH7" i="11"/>
  <c r="AI7" i="11"/>
  <c r="AJ7" i="11" s="1"/>
  <c r="AK7" i="11" s="1"/>
  <c r="AL7" i="11" s="1"/>
  <c r="AM7" i="11" s="1"/>
  <c r="AN7" i="11" s="1"/>
  <c r="AO7" i="11" s="1"/>
  <c r="AP7" i="11" s="1"/>
  <c r="AQ7" i="11" s="1"/>
  <c r="AR7" i="11" s="1"/>
  <c r="AS7" i="11" s="1"/>
  <c r="E30" i="11"/>
  <c r="F30" i="11"/>
  <c r="F8" i="11" s="1"/>
  <c r="G30" i="11"/>
  <c r="H30" i="11"/>
  <c r="I30" i="11"/>
  <c r="D30" i="11"/>
  <c r="F33" i="11"/>
  <c r="D33" i="11" s="1"/>
  <c r="D8" i="11" s="1"/>
  <c r="F39" i="11"/>
  <c r="F43" i="11"/>
  <c r="F53" i="11"/>
  <c r="D53" i="11" s="1"/>
  <c r="F63" i="11"/>
  <c r="D63" i="11" s="1"/>
  <c r="F69" i="11"/>
  <c r="H33" i="11"/>
  <c r="H8" i="11" s="1"/>
  <c r="H39" i="11"/>
  <c r="H43" i="11"/>
  <c r="H53" i="11"/>
  <c r="H63" i="11"/>
  <c r="H69" i="11"/>
  <c r="E33" i="11"/>
  <c r="G33" i="11"/>
  <c r="I33" i="11"/>
  <c r="E39" i="11"/>
  <c r="G39" i="11"/>
  <c r="D39" i="11" s="1"/>
  <c r="I39" i="11"/>
  <c r="E43" i="11"/>
  <c r="G43" i="11"/>
  <c r="D43" i="11" s="1"/>
  <c r="I43" i="11"/>
  <c r="E53" i="11"/>
  <c r="G53" i="11"/>
  <c r="I53" i="11"/>
  <c r="E63" i="11"/>
  <c r="G63" i="11"/>
  <c r="I63" i="11"/>
  <c r="E69" i="11"/>
  <c r="G69" i="11"/>
  <c r="D69" i="11" s="1"/>
  <c r="I69" i="11"/>
  <c r="E8" i="11"/>
  <c r="G8" i="11"/>
  <c r="I8" i="11"/>
  <c r="C21" i="13"/>
  <c r="D43" i="33"/>
  <c r="D42" i="33"/>
  <c r="E39" i="33"/>
  <c r="E42" i="33"/>
  <c r="E41" i="33"/>
  <c r="E44" i="33"/>
  <c r="E43" i="33"/>
  <c r="G26" i="33" l="1"/>
  <c r="H26" i="33" s="1"/>
  <c r="I26" i="33" s="1"/>
  <c r="J26" i="33" s="1"/>
  <c r="F25" i="33"/>
  <c r="F23" i="33"/>
  <c r="H12" i="33"/>
  <c r="I12" i="33" s="1"/>
  <c r="J12" i="33" s="1"/>
  <c r="B11" i="33"/>
  <c r="F29" i="33"/>
  <c r="J14" i="33"/>
  <c r="H13" i="33"/>
  <c r="G11" i="33"/>
  <c r="G19" i="33" l="1"/>
  <c r="B15" i="33"/>
  <c r="B28" i="33"/>
  <c r="B21" i="33"/>
  <c r="I13" i="33"/>
  <c r="I11" i="33" s="1"/>
  <c r="H11" i="33"/>
  <c r="B39" i="33" s="1"/>
  <c r="J13" i="33" l="1"/>
  <c r="J11" i="33" s="1"/>
  <c r="G23" i="33" l="1"/>
  <c r="H23" i="33" s="1"/>
  <c r="G25" i="33"/>
  <c r="H25" i="33" s="1"/>
  <c r="I25" i="33" s="1"/>
  <c r="J25" i="33" s="1"/>
  <c r="F18" i="33"/>
  <c r="H18" i="33" s="1"/>
  <c r="I23" i="33" l="1"/>
  <c r="J23" i="33" s="1"/>
  <c r="F20" i="33"/>
  <c r="H20" i="33" s="1"/>
  <c r="I18" i="33"/>
  <c r="J18" i="33" s="1"/>
  <c r="F17" i="33" l="1"/>
  <c r="H17" i="33" s="1"/>
  <c r="I17" i="33" s="1"/>
  <c r="J17" i="33" s="1"/>
  <c r="I20" i="33"/>
  <c r="J20" i="33" s="1"/>
  <c r="F24" i="33"/>
  <c r="H24" i="33" s="1"/>
  <c r="G27" i="33"/>
  <c r="H27" i="33" s="1"/>
  <c r="I27" i="33" s="1"/>
  <c r="J27" i="33" s="1"/>
  <c r="F22" i="33" l="1"/>
  <c r="H22" i="33" s="1"/>
  <c r="I22" i="33" s="1"/>
  <c r="J22" i="33" s="1"/>
  <c r="F19" i="33"/>
  <c r="H19" i="33" s="1"/>
  <c r="F16" i="33"/>
  <c r="H16" i="33" s="1"/>
  <c r="I24" i="33"/>
  <c r="H21" i="33" l="1"/>
  <c r="I19" i="33"/>
  <c r="J19" i="33" s="1"/>
  <c r="H15" i="33"/>
  <c r="I16" i="33"/>
  <c r="I15" i="33" s="1"/>
  <c r="J24" i="33"/>
  <c r="J21" i="33" s="1"/>
  <c r="I21" i="33"/>
  <c r="B41" i="33" l="1"/>
  <c r="H32" i="33"/>
  <c r="H33" i="33" s="1"/>
  <c r="B43" i="33" s="1"/>
  <c r="I32" i="33"/>
  <c r="B42" i="33" s="1"/>
  <c r="J16" i="33"/>
  <c r="J15" i="33" s="1"/>
  <c r="J32" i="33" s="1"/>
  <c r="B44" i="33" s="1"/>
</calcChain>
</file>

<file path=xl/comments1.xml><?xml version="1.0" encoding="utf-8"?>
<comments xmlns="http://schemas.openxmlformats.org/spreadsheetml/2006/main">
  <authors>
    <author>FNSP</author>
    <author>Mischa Peters</author>
  </authors>
  <commentList>
    <comment ref="A10" authorId="0">
      <text>
        <r>
          <rPr>
            <sz val="8"/>
            <color indexed="81"/>
            <rFont val="Tahoma"/>
            <family val="2"/>
          </rPr>
          <t>See n° of beneficiary in the grant agreement (or in the proposal)</t>
        </r>
      </text>
    </comment>
    <comment ref="G21" authorId="1">
      <text>
        <r>
          <rPr>
            <b/>
            <sz val="9"/>
            <color indexed="81"/>
            <rFont val="Tahoma"/>
            <family val="2"/>
          </rPr>
          <t>Mischa Peters:</t>
        </r>
        <r>
          <rPr>
            <sz val="9"/>
            <color indexed="81"/>
            <rFont val="Tahoma"/>
            <family val="2"/>
          </rPr>
          <t xml:space="preserve">
number of persons travelling times the number of meetings
</t>
        </r>
      </text>
    </comment>
    <comment ref="G28" authorId="1">
      <text>
        <r>
          <rPr>
            <b/>
            <sz val="9"/>
            <color indexed="81"/>
            <rFont val="Tahoma"/>
            <family val="2"/>
          </rPr>
          <t>Mischa Peters:</t>
        </r>
        <r>
          <rPr>
            <sz val="9"/>
            <color indexed="81"/>
            <rFont val="Tahoma"/>
            <family val="2"/>
          </rPr>
          <t xml:space="preserve">
number of persons attending, times the number of meetings
</t>
        </r>
      </text>
    </comment>
  </commentList>
</comments>
</file>

<file path=xl/comments2.xml><?xml version="1.0" encoding="utf-8"?>
<comments xmlns="http://schemas.openxmlformats.org/spreadsheetml/2006/main">
  <authors>
    <author>FNSP</author>
  </authors>
  <commentList>
    <comment ref="A9" authorId="0">
      <text>
        <r>
          <rPr>
            <sz val="8"/>
            <color indexed="81"/>
            <rFont val="Tahoma"/>
            <family val="2"/>
          </rPr>
          <t>See n° of beneficiary in the grant agreement (or in the proposal)</t>
        </r>
      </text>
    </comment>
  </commentList>
</comments>
</file>

<file path=xl/comments3.xml><?xml version="1.0" encoding="utf-8"?>
<comments xmlns="http://schemas.openxmlformats.org/spreadsheetml/2006/main">
  <authors>
    <author>Mischa Peters</author>
  </authors>
  <commentList>
    <comment ref="E14" authorId="0">
      <text>
        <r>
          <rPr>
            <b/>
            <sz val="8"/>
            <color indexed="81"/>
            <rFont val="Tahoma"/>
            <family val="2"/>
          </rPr>
          <t>Mischa Peters:</t>
        </r>
        <r>
          <rPr>
            <sz val="8"/>
            <color indexed="81"/>
            <rFont val="Tahoma"/>
            <family val="2"/>
          </rPr>
          <t xml:space="preserve">
extra disseminatie activiteiten = we moeten nog even goed kijken hoe we Karin en Sebastiaan meer betrokken kunnen krijgen bij de coordinatie
</t>
        </r>
      </text>
    </comment>
  </commentList>
</comments>
</file>

<file path=xl/sharedStrings.xml><?xml version="1.0" encoding="utf-8"?>
<sst xmlns="http://schemas.openxmlformats.org/spreadsheetml/2006/main" count="207" uniqueCount="122">
  <si>
    <t>Durable Equipment</t>
  </si>
  <si>
    <t>WP…</t>
  </si>
  <si>
    <t>Partner acronyme</t>
  </si>
  <si>
    <t>WP</t>
  </si>
  <si>
    <t xml:space="preserve">Requested
grant to the budget              </t>
  </si>
  <si>
    <t xml:space="preserve">Requested
grant to the budget                             </t>
  </si>
  <si>
    <t>Travel and subsistence</t>
  </si>
  <si>
    <t xml:space="preserve">Indirect costs               </t>
  </si>
  <si>
    <t>Specific programme: Cooperation</t>
  </si>
  <si>
    <t>Partner N° 1</t>
  </si>
  <si>
    <t>Partner</t>
  </si>
  <si>
    <t xml:space="preserve">CONTRACT BARCHART &amp; MANPOWER </t>
  </si>
  <si>
    <t>(to be frontlined to show status at project reviews)</t>
  </si>
  <si>
    <t>(subsequent revisions to be attached)</t>
  </si>
  <si>
    <t>Responsible Partner - man*month</t>
  </si>
  <si>
    <t>Duration</t>
  </si>
  <si>
    <t>Mutual Recognition</t>
  </si>
  <si>
    <t>1st year</t>
  </si>
  <si>
    <t>2nd year</t>
  </si>
  <si>
    <t>3rd year</t>
  </si>
  <si>
    <t xml:space="preserve">PROJECT- CONTRACT N°
</t>
  </si>
  <si>
    <t>Total/task</t>
  </si>
  <si>
    <t>PROJECT TOTALS:</t>
  </si>
  <si>
    <t>Duration 36 months</t>
  </si>
  <si>
    <t>Coordination</t>
  </si>
  <si>
    <t xml:space="preserve">Workpackage 2: </t>
  </si>
  <si>
    <t>Duration 18 month</t>
  </si>
  <si>
    <t xml:space="preserve">Workpackage 3: </t>
  </si>
  <si>
    <t xml:space="preserve">Workpackage 6: </t>
  </si>
  <si>
    <t xml:space="preserve">Workpackage 7: </t>
  </si>
  <si>
    <t>Duration 24</t>
  </si>
  <si>
    <t>Duration 12 month</t>
  </si>
  <si>
    <r>
      <t xml:space="preserve">Workpackage 1: </t>
    </r>
    <r>
      <rPr>
        <sz val="8"/>
        <rFont val="Arial"/>
        <family val="2"/>
      </rPr>
      <t>Coordination and Management</t>
    </r>
  </si>
  <si>
    <t>RTD</t>
  </si>
  <si>
    <t>Demonstration</t>
  </si>
  <si>
    <t>Support</t>
  </si>
  <si>
    <t>Management</t>
  </si>
  <si>
    <t>Other</t>
  </si>
  <si>
    <t>WP1</t>
  </si>
  <si>
    <t>PM</t>
  </si>
  <si>
    <t>Salarycost per month</t>
  </si>
  <si>
    <t>unit-costs</t>
  </si>
  <si>
    <t>Workpackage 2: Conceptual and Constitutional Studies</t>
  </si>
  <si>
    <t>Activity Type</t>
  </si>
  <si>
    <t>Workpackage 4:</t>
  </si>
  <si>
    <t>Workpackage 5:</t>
  </si>
  <si>
    <t xml:space="preserve">Workpackage 8: </t>
  </si>
  <si>
    <t>Total RTD</t>
  </si>
  <si>
    <t>Workpackage 1: Coordination and Management</t>
  </si>
  <si>
    <t>Total Management</t>
  </si>
  <si>
    <t>Total Benificiaries</t>
  </si>
  <si>
    <t>Duration 24 month</t>
  </si>
  <si>
    <t>Workpackage 3: Emperial survey</t>
  </si>
  <si>
    <t>Workpackage 4: Case Studies Internal Market</t>
  </si>
  <si>
    <t>Workpackage 5:  Case Studies Freedom, Security and Justice</t>
  </si>
  <si>
    <t>Direct costs</t>
  </si>
  <si>
    <t>Cost (€)</t>
  </si>
  <si>
    <t>Total</t>
  </si>
  <si>
    <t>Description</t>
  </si>
  <si>
    <t>TOTAL</t>
  </si>
  <si>
    <t>Demonstration activities</t>
  </si>
  <si>
    <t>Personnel costs</t>
  </si>
  <si>
    <t>Consumables</t>
  </si>
  <si>
    <t>total</t>
  </si>
  <si>
    <t>Participant no./short name</t>
  </si>
  <si>
    <t>WP2</t>
  </si>
  <si>
    <t>WP3</t>
  </si>
  <si>
    <t>WP4</t>
  </si>
  <si>
    <t>WP5</t>
  </si>
  <si>
    <t>WP6</t>
  </si>
  <si>
    <t>WP7</t>
  </si>
  <si>
    <t>Total person months</t>
  </si>
  <si>
    <t xml:space="preserve">Table 1.3 e: </t>
  </si>
  <si>
    <t>Summary of staff effort</t>
  </si>
  <si>
    <t>WP8</t>
  </si>
  <si>
    <t>Workpackage 6: Synthesis</t>
  </si>
  <si>
    <t>Workpackage 2: Analitical Framework</t>
  </si>
  <si>
    <t>Workpackage 3: Conceptual Analysis and Reflection</t>
  </si>
  <si>
    <t>Workpackage 4: Emperial survey</t>
  </si>
  <si>
    <t>Workpackage 5: Case Studies Internal Market</t>
  </si>
  <si>
    <t>Workpackage 6:  Case Studies Area Freedom, Security and Justice</t>
  </si>
  <si>
    <t>Workpackage 7: Synthesis</t>
  </si>
  <si>
    <t>Workpackage 8: Disseminiation</t>
  </si>
  <si>
    <t xml:space="preserve">WP2 </t>
  </si>
  <si>
    <t xml:space="preserve">WP4 </t>
  </si>
  <si>
    <t xml:space="preserve">WP5 </t>
  </si>
  <si>
    <t xml:space="preserve">WP6 </t>
  </si>
  <si>
    <t xml:space="preserve">WP1 </t>
  </si>
  <si>
    <t>Partner N° 2</t>
  </si>
  <si>
    <t>number of units</t>
  </si>
  <si>
    <t xml:space="preserve">   Task </t>
  </si>
  <si>
    <t xml:space="preserve">WP8 </t>
  </si>
  <si>
    <t xml:space="preserve">WP7 </t>
  </si>
  <si>
    <t xml:space="preserve">WP9 </t>
  </si>
  <si>
    <t xml:space="preserve">WP10 </t>
  </si>
  <si>
    <t>WP11 Management and Coordination</t>
  </si>
  <si>
    <t>WP12 Dissemination</t>
  </si>
  <si>
    <t xml:space="preserve">Other </t>
  </si>
  <si>
    <t>Personnel costs (in €)</t>
  </si>
  <si>
    <t>Other direct costs (in €)</t>
  </si>
  <si>
    <t>Indirect costs (in €)</t>
  </si>
  <si>
    <t xml:space="preserve">T otal budget (in €) </t>
  </si>
  <si>
    <t xml:space="preserve">Requested EU contribution (in €) </t>
  </si>
  <si>
    <t>Subcontracting</t>
  </si>
  <si>
    <t xml:space="preserve">Full Duration:  </t>
  </si>
  <si>
    <t>months</t>
  </si>
  <si>
    <t>Unit Costs</t>
  </si>
  <si>
    <t>SalaryCost per month/unit costs</t>
  </si>
  <si>
    <t>Senior Staff</t>
  </si>
  <si>
    <t>Junior Staff</t>
  </si>
  <si>
    <t>A3.1</t>
  </si>
  <si>
    <t xml:space="preserve">Full Duration: </t>
  </si>
  <si>
    <t>travel</t>
  </si>
  <si>
    <t>Instructie: alleen groene cellen invullen - rest rekent automatisch door. Vergeet niet in te vullen hoe lang (in maanden) de looptijd van het project is (nodig voor de berekening van de overhead)</t>
  </si>
  <si>
    <t>Postdoc</t>
  </si>
  <si>
    <t xml:space="preserve">calculation unit costs </t>
  </si>
  <si>
    <t>hotel and subsistance per day (add to unit costs for each extra day the meeting is scheduled)</t>
  </si>
  <si>
    <t xml:space="preserve">Certificate </t>
  </si>
  <si>
    <t>Funding scheme: H2020</t>
  </si>
  <si>
    <t>Senior Researcher</t>
  </si>
  <si>
    <t>Student assistant</t>
  </si>
  <si>
    <t>INSIDEUP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</si>
</sst>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_ ;[Red]\-0.00\ "/>
    <numFmt numFmtId="165" formatCode="0.0"/>
  </numFmts>
  <fonts count="3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8"/>
      <color indexed="10"/>
      <name val="Arial"/>
      <family val="2"/>
    </font>
    <font>
      <sz val="5"/>
      <color indexed="10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b/>
      <sz val="9"/>
      <name val="Arial"/>
      <family val="2"/>
    </font>
    <font>
      <b/>
      <i/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Verdana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</fills>
  <borders count="7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1">
    <xf numFmtId="0" fontId="0" fillId="0" borderId="0"/>
    <xf numFmtId="0" fontId="28" fillId="0" borderId="0"/>
    <xf numFmtId="0" fontId="29" fillId="0" borderId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</cellStyleXfs>
  <cellXfs count="310">
    <xf numFmtId="0" fontId="0" fillId="0" borderId="0" xfId="0"/>
    <xf numFmtId="3" fontId="2" fillId="2" borderId="1" xfId="0" applyNumberFormat="1" applyFont="1" applyFill="1" applyBorder="1" applyAlignment="1" applyProtection="1">
      <alignment vertical="center"/>
    </xf>
    <xf numFmtId="3" fontId="2" fillId="2" borderId="1" xfId="0" applyNumberFormat="1" applyFont="1" applyFill="1" applyBorder="1" applyAlignment="1" applyProtection="1">
      <alignment horizontal="left" vertical="center" wrapText="1"/>
    </xf>
    <xf numFmtId="40" fontId="2" fillId="2" borderId="2" xfId="0" applyNumberFormat="1" applyFont="1" applyFill="1" applyBorder="1" applyAlignment="1" applyProtection="1">
      <alignment vertical="center"/>
    </xf>
    <xf numFmtId="40" fontId="2" fillId="2" borderId="1" xfId="0" applyNumberFormat="1" applyFont="1" applyFill="1" applyBorder="1" applyAlignment="1" applyProtection="1">
      <alignment vertical="center"/>
    </xf>
    <xf numFmtId="40" fontId="2" fillId="2" borderId="3" xfId="0" applyNumberFormat="1" applyFont="1" applyFill="1" applyBorder="1" applyAlignment="1" applyProtection="1">
      <alignment vertical="center"/>
    </xf>
    <xf numFmtId="3" fontId="3" fillId="3" borderId="1" xfId="0" applyNumberFormat="1" applyFont="1" applyFill="1" applyBorder="1" applyAlignment="1" applyProtection="1">
      <alignment horizontal="left" vertical="center"/>
      <protection locked="0"/>
    </xf>
    <xf numFmtId="3" fontId="2" fillId="2" borderId="2" xfId="0" applyNumberFormat="1" applyFont="1" applyFill="1" applyBorder="1" applyAlignment="1" applyProtection="1">
      <alignment horizontal="center" vertical="center"/>
    </xf>
    <xf numFmtId="0" fontId="2" fillId="4" borderId="1" xfId="0" applyFont="1" applyFill="1" applyBorder="1" applyAlignment="1" applyProtection="1">
      <alignment horizontal="center" vertical="center" wrapText="1"/>
    </xf>
    <xf numFmtId="3" fontId="3" fillId="3" borderId="2" xfId="0" applyNumberFormat="1" applyFont="1" applyFill="1" applyBorder="1" applyAlignment="1" applyProtection="1">
      <alignment horizontal="left" vertical="center"/>
      <protection locked="0"/>
    </xf>
    <xf numFmtId="0" fontId="0" fillId="0" borderId="0" xfId="0" applyBorder="1" applyProtection="1">
      <protection locked="0"/>
    </xf>
    <xf numFmtId="9" fontId="2" fillId="4" borderId="4" xfId="0" applyNumberFormat="1" applyFont="1" applyFill="1" applyBorder="1" applyAlignment="1" applyProtection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Border="1" applyAlignment="1" applyProtection="1">
      <alignment vertical="center" wrapText="1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vertical="center"/>
      <protection locked="0"/>
    </xf>
    <xf numFmtId="9" fontId="2" fillId="3" borderId="5" xfId="0" applyNumberFormat="1" applyFont="1" applyFill="1" applyBorder="1" applyAlignment="1" applyProtection="1">
      <alignment horizontal="center" vertical="center" wrapText="1"/>
    </xf>
    <xf numFmtId="0" fontId="2" fillId="4" borderId="6" xfId="0" applyFont="1" applyFill="1" applyBorder="1" applyAlignment="1" applyProtection="1">
      <alignment horizontal="center" vertical="center" wrapText="1"/>
    </xf>
    <xf numFmtId="0" fontId="2" fillId="4" borderId="7" xfId="0" applyFont="1" applyFill="1" applyBorder="1" applyAlignment="1" applyProtection="1">
      <alignment horizontal="center" vertical="center" wrapText="1"/>
    </xf>
    <xf numFmtId="40" fontId="2" fillId="5" borderId="6" xfId="0" applyNumberFormat="1" applyFont="1" applyFill="1" applyBorder="1" applyAlignment="1" applyProtection="1">
      <alignment vertical="center"/>
    </xf>
    <xf numFmtId="40" fontId="2" fillId="5" borderId="8" xfId="0" applyNumberFormat="1" applyFont="1" applyFill="1" applyBorder="1" applyAlignment="1" applyProtection="1">
      <alignment vertical="center"/>
    </xf>
    <xf numFmtId="40" fontId="2" fillId="5" borderId="9" xfId="0" applyNumberFormat="1" applyFont="1" applyFill="1" applyBorder="1" applyAlignment="1" applyProtection="1">
      <alignment vertical="center"/>
    </xf>
    <xf numFmtId="3" fontId="2" fillId="2" borderId="10" xfId="0" applyNumberFormat="1" applyFont="1" applyFill="1" applyBorder="1" applyAlignment="1" applyProtection="1">
      <alignment horizontal="center" vertical="center"/>
    </xf>
    <xf numFmtId="3" fontId="2" fillId="2" borderId="11" xfId="0" applyNumberFormat="1" applyFont="1" applyFill="1" applyBorder="1" applyAlignment="1" applyProtection="1">
      <alignment vertical="center"/>
    </xf>
    <xf numFmtId="3" fontId="2" fillId="2" borderId="11" xfId="0" applyNumberFormat="1" applyFont="1" applyFill="1" applyBorder="1" applyAlignment="1" applyProtection="1">
      <alignment horizontal="left" vertical="center" wrapText="1"/>
    </xf>
    <xf numFmtId="40" fontId="2" fillId="2" borderId="10" xfId="0" applyNumberFormat="1" applyFont="1" applyFill="1" applyBorder="1" applyAlignment="1" applyProtection="1">
      <alignment vertical="center"/>
    </xf>
    <xf numFmtId="40" fontId="2" fillId="2" borderId="11" xfId="0" applyNumberFormat="1" applyFont="1" applyFill="1" applyBorder="1" applyAlignment="1" applyProtection="1">
      <alignment vertical="center"/>
    </xf>
    <xf numFmtId="40" fontId="2" fillId="2" borderId="12" xfId="0" applyNumberFormat="1" applyFont="1" applyFill="1" applyBorder="1" applyAlignment="1" applyProtection="1">
      <alignment vertical="center"/>
    </xf>
    <xf numFmtId="3" fontId="3" fillId="3" borderId="13" xfId="0" applyNumberFormat="1" applyFont="1" applyFill="1" applyBorder="1" applyAlignment="1" applyProtection="1">
      <alignment horizontal="left" vertical="center"/>
      <protection locked="0"/>
    </xf>
    <xf numFmtId="3" fontId="3" fillId="3" borderId="4" xfId="0" applyNumberFormat="1" applyFont="1" applyFill="1" applyBorder="1" applyAlignment="1" applyProtection="1">
      <alignment horizontal="left" vertical="center"/>
      <protection locked="0"/>
    </xf>
    <xf numFmtId="164" fontId="4" fillId="2" borderId="3" xfId="0" applyNumberFormat="1" applyFont="1" applyFill="1" applyBorder="1" applyAlignment="1" applyProtection="1">
      <alignment horizontal="right" vertical="center" wrapText="1"/>
    </xf>
    <xf numFmtId="164" fontId="2" fillId="2" borderId="3" xfId="0" applyNumberFormat="1" applyFont="1" applyFill="1" applyBorder="1" applyAlignment="1" applyProtection="1">
      <alignment horizontal="left" vertical="center" wrapText="1"/>
    </xf>
    <xf numFmtId="164" fontId="1" fillId="2" borderId="12" xfId="0" applyNumberFormat="1" applyFont="1" applyFill="1" applyBorder="1" applyAlignment="1" applyProtection="1">
      <alignment horizontal="right" vertical="center" wrapText="1"/>
    </xf>
    <xf numFmtId="3" fontId="1" fillId="3" borderId="1" xfId="0" applyNumberFormat="1" applyFont="1" applyFill="1" applyBorder="1" applyAlignment="1" applyProtection="1">
      <alignment vertical="center"/>
      <protection locked="0"/>
    </xf>
    <xf numFmtId="3" fontId="1" fillId="3" borderId="1" xfId="0" applyNumberFormat="1" applyFont="1" applyFill="1" applyBorder="1" applyAlignment="1" applyProtection="1">
      <alignment horizontal="center" vertical="center"/>
      <protection locked="0"/>
    </xf>
    <xf numFmtId="4" fontId="1" fillId="3" borderId="3" xfId="0" applyNumberFormat="1" applyFont="1" applyFill="1" applyBorder="1" applyAlignment="1" applyProtection="1">
      <alignment vertical="center"/>
      <protection locked="0"/>
    </xf>
    <xf numFmtId="40" fontId="1" fillId="3" borderId="2" xfId="0" applyNumberFormat="1" applyFont="1" applyFill="1" applyBorder="1" applyAlignment="1" applyProtection="1">
      <alignment vertical="center"/>
    </xf>
    <xf numFmtId="40" fontId="1" fillId="0" borderId="1" xfId="0" applyNumberFormat="1" applyFont="1" applyBorder="1" applyAlignment="1" applyProtection="1">
      <alignment vertical="center"/>
    </xf>
    <xf numFmtId="40" fontId="1" fillId="0" borderId="3" xfId="0" applyNumberFormat="1" applyFont="1" applyBorder="1" applyAlignment="1" applyProtection="1">
      <alignment vertical="center"/>
    </xf>
    <xf numFmtId="40" fontId="1" fillId="3" borderId="2" xfId="0" applyNumberFormat="1" applyFont="1" applyFill="1" applyBorder="1" applyAlignment="1" applyProtection="1">
      <alignment vertical="center"/>
      <protection locked="0"/>
    </xf>
    <xf numFmtId="0" fontId="1" fillId="0" borderId="0" xfId="0" applyFont="1" applyBorder="1" applyAlignment="1" applyProtection="1">
      <alignment vertical="center"/>
      <protection locked="0"/>
    </xf>
    <xf numFmtId="3" fontId="1" fillId="3" borderId="1" xfId="0" applyNumberFormat="1" applyFont="1" applyFill="1" applyBorder="1" applyAlignment="1" applyProtection="1">
      <alignment vertical="center" wrapText="1"/>
      <protection locked="0"/>
    </xf>
    <xf numFmtId="40" fontId="1" fillId="6" borderId="1" xfId="0" applyNumberFormat="1" applyFont="1" applyFill="1" applyBorder="1" applyAlignment="1" applyProtection="1">
      <alignment vertical="center"/>
    </xf>
    <xf numFmtId="3" fontId="1" fillId="0" borderId="0" xfId="0" applyNumberFormat="1" applyFont="1" applyBorder="1" applyAlignment="1" applyProtection="1">
      <alignment vertical="center"/>
      <protection locked="0"/>
    </xf>
    <xf numFmtId="3" fontId="1" fillId="3" borderId="4" xfId="0" applyNumberFormat="1" applyFont="1" applyFill="1" applyBorder="1" applyAlignment="1" applyProtection="1">
      <alignment vertical="center"/>
      <protection locked="0"/>
    </xf>
    <xf numFmtId="3" fontId="1" fillId="3" borderId="4" xfId="0" applyNumberFormat="1" applyFont="1" applyFill="1" applyBorder="1" applyAlignment="1" applyProtection="1">
      <alignment horizontal="center" vertical="center"/>
      <protection locked="0"/>
    </xf>
    <xf numFmtId="4" fontId="1" fillId="3" borderId="5" xfId="0" applyNumberFormat="1" applyFont="1" applyFill="1" applyBorder="1" applyAlignment="1" applyProtection="1">
      <alignment vertical="center"/>
      <protection locked="0"/>
    </xf>
    <xf numFmtId="40" fontId="1" fillId="3" borderId="13" xfId="0" applyNumberFormat="1" applyFont="1" applyFill="1" applyBorder="1" applyAlignment="1" applyProtection="1">
      <alignment vertical="center"/>
      <protection locked="0"/>
    </xf>
    <xf numFmtId="40" fontId="1" fillId="6" borderId="4" xfId="0" applyNumberFormat="1" applyFont="1" applyFill="1" applyBorder="1" applyAlignment="1" applyProtection="1">
      <alignment vertical="center"/>
    </xf>
    <xf numFmtId="40" fontId="1" fillId="0" borderId="5" xfId="0" applyNumberFormat="1" applyFont="1" applyBorder="1" applyAlignment="1" applyProtection="1">
      <alignment vertical="center"/>
    </xf>
    <xf numFmtId="0" fontId="3" fillId="0" borderId="0" xfId="0" applyFont="1" applyAlignment="1"/>
    <xf numFmtId="0" fontId="8" fillId="0" borderId="0" xfId="0" applyFont="1" applyAlignment="1">
      <alignment horizontal="centerContinuous"/>
    </xf>
    <xf numFmtId="0" fontId="3" fillId="0" borderId="0" xfId="0" applyFont="1"/>
    <xf numFmtId="0" fontId="6" fillId="0" borderId="0" xfId="0" applyFont="1"/>
    <xf numFmtId="0" fontId="3" fillId="0" borderId="0" xfId="0" applyFont="1" applyBorder="1"/>
    <xf numFmtId="0" fontId="3" fillId="0" borderId="20" xfId="0" applyFont="1" applyBorder="1"/>
    <xf numFmtId="0" fontId="7" fillId="0" borderId="21" xfId="0" applyFont="1" applyBorder="1" applyAlignment="1">
      <alignment horizontal="centerContinuous"/>
    </xf>
    <xf numFmtId="0" fontId="7" fillId="0" borderId="22" xfId="0" applyFont="1" applyBorder="1" applyAlignment="1">
      <alignment horizontal="centerContinuous"/>
    </xf>
    <xf numFmtId="0" fontId="7" fillId="0" borderId="23" xfId="0" applyFont="1" applyBorder="1" applyAlignment="1">
      <alignment horizontal="centerContinuous"/>
    </xf>
    <xf numFmtId="0" fontId="7" fillId="0" borderId="24" xfId="0" applyFont="1" applyBorder="1" applyAlignment="1">
      <alignment horizontal="centerContinuous"/>
    </xf>
    <xf numFmtId="0" fontId="7" fillId="0" borderId="25" xfId="0" applyFont="1" applyBorder="1" applyAlignment="1">
      <alignment horizontal="centerContinuous"/>
    </xf>
    <xf numFmtId="0" fontId="7" fillId="0" borderId="0" xfId="0" applyFont="1" applyAlignment="1">
      <alignment horizontal="centerContinuous"/>
    </xf>
    <xf numFmtId="0" fontId="6" fillId="0" borderId="26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Continuous"/>
    </xf>
    <xf numFmtId="0" fontId="3" fillId="0" borderId="27" xfId="0" applyFont="1" applyBorder="1" applyAlignment="1"/>
    <xf numFmtId="0" fontId="3" fillId="0" borderId="28" xfId="0" applyFont="1" applyBorder="1" applyAlignment="1"/>
    <xf numFmtId="0" fontId="3" fillId="0" borderId="28" xfId="0" applyFont="1" applyBorder="1" applyAlignment="1">
      <alignment horizontal="centerContinuous"/>
    </xf>
    <xf numFmtId="0" fontId="3" fillId="0" borderId="29" xfId="0" applyFont="1" applyBorder="1" applyAlignment="1"/>
    <xf numFmtId="0" fontId="3" fillId="0" borderId="2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Continuous"/>
    </xf>
    <xf numFmtId="0" fontId="6" fillId="0" borderId="26" xfId="0" applyFont="1" applyBorder="1" applyAlignment="1">
      <alignment horizontal="center" textRotation="90"/>
    </xf>
    <xf numFmtId="0" fontId="3" fillId="0" borderId="26" xfId="0" applyFont="1" applyBorder="1" applyAlignment="1">
      <alignment horizontal="center" textRotation="90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"/>
    </xf>
    <xf numFmtId="0" fontId="11" fillId="0" borderId="0" xfId="0" applyFont="1" applyBorder="1"/>
    <xf numFmtId="0" fontId="9" fillId="0" borderId="3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6" fillId="0" borderId="34" xfId="0" applyNumberFormat="1" applyFont="1" applyBorder="1"/>
    <xf numFmtId="0" fontId="3" fillId="7" borderId="35" xfId="0" applyFont="1" applyFill="1" applyBorder="1"/>
    <xf numFmtId="0" fontId="3" fillId="7" borderId="36" xfId="0" applyFont="1" applyFill="1" applyBorder="1"/>
    <xf numFmtId="0" fontId="3" fillId="7" borderId="34" xfId="0" applyFont="1" applyFill="1" applyBorder="1"/>
    <xf numFmtId="0" fontId="3" fillId="7" borderId="37" xfId="0" applyFont="1" applyFill="1" applyBorder="1"/>
    <xf numFmtId="0" fontId="3" fillId="0" borderId="38" xfId="0" applyFont="1" applyFill="1" applyBorder="1"/>
    <xf numFmtId="0" fontId="3" fillId="0" borderId="39" xfId="0" applyFont="1" applyFill="1" applyBorder="1"/>
    <xf numFmtId="0" fontId="3" fillId="0" borderId="28" xfId="0" applyFont="1" applyFill="1" applyBorder="1"/>
    <xf numFmtId="0" fontId="3" fillId="0" borderId="27" xfId="0" applyFont="1" applyFill="1" applyBorder="1"/>
    <xf numFmtId="0" fontId="3" fillId="0" borderId="40" xfId="0" applyFont="1" applyBorder="1" applyAlignment="1"/>
    <xf numFmtId="0" fontId="3" fillId="0" borderId="38" xfId="0" applyFont="1" applyBorder="1"/>
    <xf numFmtId="0" fontId="3" fillId="0" borderId="29" xfId="0" applyFont="1" applyFill="1" applyBorder="1"/>
    <xf numFmtId="0" fontId="3" fillId="0" borderId="26" xfId="0" applyFont="1" applyFill="1" applyBorder="1"/>
    <xf numFmtId="0" fontId="3" fillId="0" borderId="31" xfId="0" applyFont="1" applyBorder="1" applyAlignment="1"/>
    <xf numFmtId="0" fontId="12" fillId="0" borderId="32" xfId="0" applyFont="1" applyBorder="1"/>
    <xf numFmtId="0" fontId="3" fillId="7" borderId="31" xfId="0" applyFont="1" applyFill="1" applyBorder="1"/>
    <xf numFmtId="0" fontId="3" fillId="0" borderId="32" xfId="0" applyFont="1" applyFill="1" applyBorder="1"/>
    <xf numFmtId="0" fontId="3" fillId="0" borderId="41" xfId="0" applyFont="1" applyFill="1" applyBorder="1"/>
    <xf numFmtId="0" fontId="3" fillId="0" borderId="42" xfId="0" applyFont="1" applyFill="1" applyBorder="1"/>
    <xf numFmtId="0" fontId="12" fillId="0" borderId="30" xfId="0" quotePrefix="1" applyFont="1" applyBorder="1" applyAlignment="1">
      <alignment horizontal="left"/>
    </xf>
    <xf numFmtId="0" fontId="12" fillId="0" borderId="31" xfId="0" applyFont="1" applyBorder="1" applyAlignment="1">
      <alignment horizontal="left"/>
    </xf>
    <xf numFmtId="0" fontId="3" fillId="0" borderId="43" xfId="0" applyFont="1" applyFill="1" applyBorder="1"/>
    <xf numFmtId="0" fontId="3" fillId="0" borderId="23" xfId="0" applyFont="1" applyBorder="1" applyAlignment="1"/>
    <xf numFmtId="0" fontId="3" fillId="0" borderId="44" xfId="0" applyFont="1" applyBorder="1"/>
    <xf numFmtId="0" fontId="3" fillId="0" borderId="44" xfId="0" applyFont="1" applyFill="1" applyBorder="1"/>
    <xf numFmtId="0" fontId="3" fillId="0" borderId="24" xfId="0" applyFont="1" applyFill="1" applyBorder="1"/>
    <xf numFmtId="0" fontId="3" fillId="7" borderId="32" xfId="0" applyFont="1" applyFill="1" applyBorder="1"/>
    <xf numFmtId="0" fontId="3" fillId="0" borderId="0" xfId="0" applyFont="1" applyFill="1" applyBorder="1"/>
    <xf numFmtId="0" fontId="3" fillId="0" borderId="40" xfId="0" applyFont="1" applyBorder="1" applyAlignment="1">
      <alignment horizontal="left"/>
    </xf>
    <xf numFmtId="4" fontId="2" fillId="5" borderId="6" xfId="0" applyNumberFormat="1" applyFont="1" applyFill="1" applyBorder="1" applyAlignment="1" applyProtection="1">
      <alignment vertical="center"/>
    </xf>
    <xf numFmtId="4" fontId="1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45" xfId="0" applyBorder="1"/>
    <xf numFmtId="0" fontId="16" fillId="8" borderId="46" xfId="0" applyFont="1" applyFill="1" applyBorder="1"/>
    <xf numFmtId="0" fontId="17" fillId="0" borderId="47" xfId="0" applyFont="1" applyBorder="1"/>
    <xf numFmtId="0" fontId="17" fillId="0" borderId="48" xfId="0" applyFont="1" applyBorder="1"/>
    <xf numFmtId="0" fontId="17" fillId="0" borderId="49" xfId="0" applyFont="1" applyBorder="1"/>
    <xf numFmtId="0" fontId="18" fillId="6" borderId="31" xfId="0" applyFont="1" applyFill="1" applyBorder="1"/>
    <xf numFmtId="0" fontId="18" fillId="6" borderId="43" xfId="0" applyFont="1" applyFill="1" applyBorder="1"/>
    <xf numFmtId="0" fontId="18" fillId="0" borderId="38" xfId="0" applyFont="1" applyBorder="1" applyAlignment="1">
      <alignment wrapText="1"/>
    </xf>
    <xf numFmtId="0" fontId="18" fillId="0" borderId="33" xfId="0" applyFont="1" applyBorder="1"/>
    <xf numFmtId="0" fontId="18" fillId="0" borderId="50" xfId="0" applyFont="1" applyBorder="1"/>
    <xf numFmtId="0" fontId="18" fillId="0" borderId="41" xfId="0" applyFont="1" applyBorder="1" applyAlignment="1">
      <alignment wrapText="1"/>
    </xf>
    <xf numFmtId="0" fontId="16" fillId="0" borderId="51" xfId="0" applyFont="1" applyFill="1" applyBorder="1" applyAlignment="1">
      <alignment horizontal="right" wrapText="1"/>
    </xf>
    <xf numFmtId="0" fontId="16" fillId="0" borderId="15" xfId="0" applyFont="1" applyBorder="1"/>
    <xf numFmtId="0" fontId="16" fillId="0" borderId="50" xfId="0" applyFont="1" applyBorder="1"/>
    <xf numFmtId="0" fontId="18" fillId="6" borderId="52" xfId="0" applyFont="1" applyFill="1" applyBorder="1"/>
    <xf numFmtId="0" fontId="18" fillId="0" borderId="26" xfId="0" applyFont="1" applyBorder="1" applyAlignment="1">
      <alignment wrapText="1"/>
    </xf>
    <xf numFmtId="0" fontId="18" fillId="0" borderId="53" xfId="0" applyFont="1" applyFill="1" applyBorder="1"/>
    <xf numFmtId="0" fontId="18" fillId="0" borderId="54" xfId="0" applyFont="1" applyFill="1" applyBorder="1"/>
    <xf numFmtId="0" fontId="18" fillId="0" borderId="53" xfId="0" applyFont="1" applyBorder="1" applyAlignment="1">
      <alignment wrapText="1"/>
    </xf>
    <xf numFmtId="0" fontId="18" fillId="0" borderId="54" xfId="0" applyFont="1" applyBorder="1" applyAlignment="1">
      <alignment wrapText="1"/>
    </xf>
    <xf numFmtId="0" fontId="16" fillId="0" borderId="55" xfId="0" applyFont="1" applyFill="1" applyBorder="1"/>
    <xf numFmtId="0" fontId="18" fillId="0" borderId="26" xfId="0" applyFont="1" applyBorder="1"/>
    <xf numFmtId="0" fontId="18" fillId="0" borderId="53" xfId="0" applyFont="1" applyBorder="1"/>
    <xf numFmtId="0" fontId="18" fillId="0" borderId="54" xfId="0" applyFont="1" applyBorder="1"/>
    <xf numFmtId="0" fontId="17" fillId="8" borderId="56" xfId="0" applyFont="1" applyFill="1" applyBorder="1"/>
    <xf numFmtId="0" fontId="17" fillId="8" borderId="57" xfId="0" applyFont="1" applyFill="1" applyBorder="1"/>
    <xf numFmtId="0" fontId="3" fillId="0" borderId="58" xfId="0" applyFont="1" applyFill="1" applyBorder="1" applyAlignment="1"/>
    <xf numFmtId="0" fontId="3" fillId="0" borderId="29" xfId="0" applyFont="1" applyFill="1" applyBorder="1" applyAlignment="1"/>
    <xf numFmtId="0" fontId="6" fillId="0" borderId="34" xfId="0" applyNumberFormat="1" applyFont="1" applyFill="1" applyBorder="1"/>
    <xf numFmtId="0" fontId="3" fillId="0" borderId="20" xfId="0" applyFont="1" applyFill="1" applyBorder="1"/>
    <xf numFmtId="0" fontId="3" fillId="0" borderId="40" xfId="0" applyFont="1" applyFill="1" applyBorder="1" applyAlignment="1">
      <alignment horizontal="left"/>
    </xf>
    <xf numFmtId="0" fontId="3" fillId="0" borderId="27" xfId="0" applyFont="1" applyFill="1" applyBorder="1" applyAlignment="1"/>
    <xf numFmtId="0" fontId="3" fillId="0" borderId="59" xfId="0" applyFont="1" applyBorder="1" applyAlignment="1">
      <alignment horizontal="left"/>
    </xf>
    <xf numFmtId="0" fontId="3" fillId="0" borderId="31" xfId="0" applyFont="1" applyFill="1" applyBorder="1"/>
    <xf numFmtId="0" fontId="11" fillId="0" borderId="0" xfId="0" applyFont="1" applyBorder="1" applyAlignment="1"/>
    <xf numFmtId="0" fontId="4" fillId="0" borderId="25" xfId="0" applyFont="1" applyBorder="1" applyAlignment="1">
      <alignment horizontal="left"/>
    </xf>
    <xf numFmtId="0" fontId="4" fillId="0" borderId="0" xfId="0" applyFont="1" applyBorder="1" applyAlignment="1">
      <alignment horizontal="centerContinuous"/>
    </xf>
    <xf numFmtId="0" fontId="4" fillId="0" borderId="58" xfId="0" applyFont="1" applyBorder="1" applyAlignment="1">
      <alignment horizontal="left"/>
    </xf>
    <xf numFmtId="0" fontId="4" fillId="0" borderId="29" xfId="0" applyFont="1" applyBorder="1" applyAlignment="1">
      <alignment horizontal="centerContinuous"/>
    </xf>
    <xf numFmtId="0" fontId="11" fillId="0" borderId="29" xfId="0" applyFont="1" applyBorder="1" applyAlignment="1"/>
    <xf numFmtId="0" fontId="3" fillId="0" borderId="58" xfId="0" quotePrefix="1" applyFont="1" applyFill="1" applyBorder="1" applyAlignment="1">
      <alignment horizontal="left"/>
    </xf>
    <xf numFmtId="0" fontId="10" fillId="0" borderId="60" xfId="0" applyFont="1" applyBorder="1" applyAlignment="1">
      <alignment horizontal="center"/>
    </xf>
    <xf numFmtId="0" fontId="10" fillId="0" borderId="61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6" fillId="0" borderId="16" xfId="0" applyNumberFormat="1" applyFont="1" applyBorder="1"/>
    <xf numFmtId="0" fontId="12" fillId="0" borderId="32" xfId="0" applyNumberFormat="1" applyFont="1" applyBorder="1"/>
    <xf numFmtId="0" fontId="9" fillId="0" borderId="16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11" fillId="0" borderId="1" xfId="0" applyFont="1" applyBorder="1"/>
    <xf numFmtId="0" fontId="3" fillId="0" borderId="0" xfId="0" applyFont="1" applyBorder="1" applyAlignment="1">
      <alignment horizontal="center" textRotation="90"/>
    </xf>
    <xf numFmtId="0" fontId="9" fillId="0" borderId="6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63" xfId="0" applyFont="1" applyBorder="1" applyAlignment="1">
      <alignment horizontal="center"/>
    </xf>
    <xf numFmtId="0" fontId="12" fillId="0" borderId="31" xfId="0" applyNumberFormat="1" applyFont="1" applyBorder="1"/>
    <xf numFmtId="0" fontId="10" fillId="0" borderId="64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  <xf numFmtId="0" fontId="3" fillId="7" borderId="6" xfId="0" applyFont="1" applyFill="1" applyBorder="1"/>
    <xf numFmtId="0" fontId="3" fillId="0" borderId="1" xfId="0" applyFont="1" applyFill="1" applyBorder="1" applyAlignment="1"/>
    <xf numFmtId="0" fontId="3" fillId="0" borderId="1" xfId="0" quotePrefix="1" applyFont="1" applyFill="1" applyBorder="1" applyAlignment="1">
      <alignment horizontal="left"/>
    </xf>
    <xf numFmtId="0" fontId="9" fillId="0" borderId="0" xfId="0" applyFont="1" applyBorder="1" applyAlignment="1"/>
    <xf numFmtId="0" fontId="3" fillId="0" borderId="25" xfId="0" applyFont="1" applyFill="1" applyBorder="1" applyAlignment="1"/>
    <xf numFmtId="0" fontId="3" fillId="0" borderId="25" xfId="0" applyFont="1" applyBorder="1" applyAlignment="1"/>
    <xf numFmtId="0" fontId="3" fillId="0" borderId="0" xfId="0" applyFont="1" applyBorder="1" applyAlignment="1"/>
    <xf numFmtId="0" fontId="3" fillId="0" borderId="26" xfId="0" applyFont="1" applyBorder="1"/>
    <xf numFmtId="0" fontId="6" fillId="0" borderId="65" xfId="0" applyNumberFormat="1" applyFont="1" applyBorder="1"/>
    <xf numFmtId="0" fontId="6" fillId="6" borderId="65" xfId="0" applyNumberFormat="1" applyFont="1" applyFill="1" applyBorder="1"/>
    <xf numFmtId="0" fontId="12" fillId="6" borderId="32" xfId="0" applyNumberFormat="1" applyFont="1" applyFill="1" applyBorder="1"/>
    <xf numFmtId="0" fontId="12" fillId="6" borderId="31" xfId="0" applyNumberFormat="1" applyFont="1" applyFill="1" applyBorder="1"/>
    <xf numFmtId="0" fontId="12" fillId="6" borderId="32" xfId="0" applyFont="1" applyFill="1" applyBorder="1"/>
    <xf numFmtId="0" fontId="3" fillId="6" borderId="31" xfId="0" applyFont="1" applyFill="1" applyBorder="1" applyAlignment="1"/>
    <xf numFmtId="0" fontId="12" fillId="6" borderId="31" xfId="0" applyFont="1" applyFill="1" applyBorder="1" applyAlignment="1">
      <alignment horizontal="left"/>
    </xf>
    <xf numFmtId="0" fontId="12" fillId="6" borderId="30" xfId="0" quotePrefix="1" applyFont="1" applyFill="1" applyBorder="1" applyAlignment="1">
      <alignment horizontal="left"/>
    </xf>
    <xf numFmtId="0" fontId="4" fillId="6" borderId="25" xfId="0" applyFont="1" applyFill="1" applyBorder="1" applyAlignment="1">
      <alignment horizontal="left"/>
    </xf>
    <xf numFmtId="0" fontId="4" fillId="6" borderId="0" xfId="0" applyFont="1" applyFill="1" applyBorder="1" applyAlignment="1">
      <alignment horizontal="centerContinuous"/>
    </xf>
    <xf numFmtId="0" fontId="9" fillId="6" borderId="0" xfId="0" applyFont="1" applyFill="1" applyBorder="1" applyAlignment="1"/>
    <xf numFmtId="0" fontId="9" fillId="6" borderId="33" xfId="0" applyFont="1" applyFill="1" applyBorder="1" applyAlignment="1">
      <alignment horizontal="center"/>
    </xf>
    <xf numFmtId="0" fontId="9" fillId="6" borderId="62" xfId="0" applyFont="1" applyFill="1" applyBorder="1" applyAlignment="1">
      <alignment horizontal="center"/>
    </xf>
    <xf numFmtId="0" fontId="9" fillId="6" borderId="15" xfId="0" applyFont="1" applyFill="1" applyBorder="1" applyAlignment="1">
      <alignment horizontal="center"/>
    </xf>
    <xf numFmtId="0" fontId="9" fillId="6" borderId="63" xfId="0" applyFont="1" applyFill="1" applyBorder="1" applyAlignment="1">
      <alignment horizontal="center"/>
    </xf>
    <xf numFmtId="0" fontId="11" fillId="6" borderId="0" xfId="0" applyFont="1" applyFill="1" applyBorder="1" applyAlignment="1"/>
    <xf numFmtId="0" fontId="3" fillId="0" borderId="25" xfId="0" quotePrefix="1" applyFont="1" applyFill="1" applyBorder="1" applyAlignment="1">
      <alignment horizontal="left"/>
    </xf>
    <xf numFmtId="165" fontId="9" fillId="0" borderId="26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wrapText="1"/>
    </xf>
    <xf numFmtId="0" fontId="20" fillId="0" borderId="41" xfId="0" applyFont="1" applyBorder="1" applyAlignment="1">
      <alignment horizontal="center" wrapText="1"/>
    </xf>
    <xf numFmtId="0" fontId="19" fillId="0" borderId="33" xfId="0" applyFont="1" applyBorder="1" applyAlignment="1">
      <alignment vertical="top" wrapText="1"/>
    </xf>
    <xf numFmtId="0" fontId="19" fillId="0" borderId="38" xfId="0" applyFont="1" applyBorder="1" applyAlignment="1">
      <alignment vertical="top" wrapText="1"/>
    </xf>
    <xf numFmtId="0" fontId="21" fillId="0" borderId="0" xfId="0" applyFont="1"/>
    <xf numFmtId="0" fontId="20" fillId="0" borderId="33" xfId="0" applyFont="1" applyBorder="1" applyAlignment="1">
      <alignment horizontal="right" vertical="top" wrapText="1"/>
    </xf>
    <xf numFmtId="0" fontId="20" fillId="0" borderId="38" xfId="0" applyFont="1" applyBorder="1" applyAlignment="1">
      <alignment vertical="top" wrapText="1"/>
    </xf>
    <xf numFmtId="0" fontId="2" fillId="0" borderId="0" xfId="0" applyFont="1"/>
    <xf numFmtId="0" fontId="23" fillId="0" borderId="38" xfId="0" applyFont="1" applyBorder="1" applyAlignment="1">
      <alignment vertical="top" wrapText="1"/>
    </xf>
    <xf numFmtId="0" fontId="22" fillId="0" borderId="0" xfId="0" applyFont="1"/>
    <xf numFmtId="0" fontId="22" fillId="0" borderId="1" xfId="0" applyFont="1" applyBorder="1"/>
    <xf numFmtId="0" fontId="22" fillId="0" borderId="3" xfId="0" applyFont="1" applyBorder="1"/>
    <xf numFmtId="0" fontId="0" fillId="0" borderId="66" xfId="0" applyBorder="1"/>
    <xf numFmtId="0" fontId="0" fillId="0" borderId="67" xfId="0" applyBorder="1"/>
    <xf numFmtId="0" fontId="22" fillId="0" borderId="16" xfId="0" applyFont="1" applyBorder="1"/>
    <xf numFmtId="0" fontId="22" fillId="0" borderId="17" xfId="0" applyFont="1" applyBorder="1"/>
    <xf numFmtId="0" fontId="22" fillId="0" borderId="18" xfId="0" applyFont="1" applyBorder="1"/>
    <xf numFmtId="0" fontId="0" fillId="0" borderId="68" xfId="0" applyBorder="1"/>
    <xf numFmtId="0" fontId="22" fillId="0" borderId="15" xfId="0" applyFont="1" applyBorder="1"/>
    <xf numFmtId="0" fontId="22" fillId="9" borderId="1" xfId="0" applyFont="1" applyFill="1" applyBorder="1"/>
    <xf numFmtId="0" fontId="22" fillId="9" borderId="15" xfId="0" applyFont="1" applyFill="1" applyBorder="1"/>
    <xf numFmtId="0" fontId="22" fillId="9" borderId="19" xfId="0" applyFont="1" applyFill="1" applyBorder="1"/>
    <xf numFmtId="0" fontId="22" fillId="9" borderId="7" xfId="0" applyFont="1" applyFill="1" applyBorder="1"/>
    <xf numFmtId="0" fontId="22" fillId="0" borderId="2" xfId="0" applyFont="1" applyBorder="1"/>
    <xf numFmtId="0" fontId="22" fillId="0" borderId="7" xfId="0" applyFont="1" applyBorder="1"/>
    <xf numFmtId="40" fontId="0" fillId="0" borderId="0" xfId="0" applyNumberFormat="1" applyBorder="1" applyAlignment="1" applyProtection="1">
      <alignment vertical="center" wrapText="1"/>
      <protection locked="0"/>
    </xf>
    <xf numFmtId="40" fontId="0" fillId="0" borderId="0" xfId="0" applyNumberFormat="1" applyProtection="1">
      <protection locked="0"/>
    </xf>
    <xf numFmtId="0" fontId="22" fillId="0" borderId="2" xfId="0" applyFont="1" applyFill="1" applyBorder="1"/>
    <xf numFmtId="0" fontId="22" fillId="0" borderId="1" xfId="0" applyFont="1" applyFill="1" applyBorder="1"/>
    <xf numFmtId="0" fontId="22" fillId="0" borderId="3" xfId="0" applyFont="1" applyFill="1" applyBorder="1"/>
    <xf numFmtId="0" fontId="22" fillId="0" borderId="15" xfId="0" applyFont="1" applyFill="1" applyBorder="1"/>
    <xf numFmtId="0" fontId="22" fillId="0" borderId="19" xfId="0" applyFont="1" applyFill="1" applyBorder="1"/>
    <xf numFmtId="0" fontId="22" fillId="0" borderId="7" xfId="0" applyFont="1" applyFill="1" applyBorder="1"/>
    <xf numFmtId="0" fontId="0" fillId="0" borderId="58" xfId="0" applyBorder="1"/>
    <xf numFmtId="0" fontId="0" fillId="0" borderId="69" xfId="0" applyBorder="1"/>
    <xf numFmtId="40" fontId="1" fillId="0" borderId="41" xfId="0" applyNumberFormat="1" applyFont="1" applyBorder="1" applyAlignment="1" applyProtection="1">
      <alignment vertical="center"/>
    </xf>
    <xf numFmtId="40" fontId="1" fillId="0" borderId="29" xfId="0" applyNumberFormat="1" applyFont="1" applyBorder="1" applyAlignment="1" applyProtection="1">
      <alignment vertical="center"/>
    </xf>
    <xf numFmtId="0" fontId="15" fillId="0" borderId="0" xfId="0" applyFont="1" applyBorder="1" applyAlignment="1">
      <alignment horizontal="center" wrapText="1"/>
    </xf>
    <xf numFmtId="0" fontId="1" fillId="3" borderId="1" xfId="0" applyFont="1" applyFill="1" applyBorder="1" applyAlignment="1" applyProtection="1">
      <alignment vertical="center"/>
      <protection locked="0"/>
    </xf>
    <xf numFmtId="0" fontId="0" fillId="0" borderId="0" xfId="0" applyFill="1" applyProtection="1"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0" fillId="0" borderId="1" xfId="0" applyBorder="1" applyAlignment="1">
      <alignment wrapText="1"/>
    </xf>
    <xf numFmtId="3" fontId="0" fillId="0" borderId="1" xfId="0" applyNumberFormat="1" applyBorder="1"/>
    <xf numFmtId="0" fontId="24" fillId="0" borderId="0" xfId="0" applyFont="1" applyBorder="1" applyProtection="1">
      <protection locked="0"/>
    </xf>
    <xf numFmtId="3" fontId="24" fillId="0" borderId="0" xfId="0" applyNumberFormat="1" applyFont="1" applyBorder="1" applyProtection="1">
      <protection locked="0"/>
    </xf>
    <xf numFmtId="3" fontId="15" fillId="0" borderId="0" xfId="0" applyNumberFormat="1" applyFont="1" applyBorder="1" applyAlignment="1">
      <alignment horizontal="center" wrapText="1"/>
    </xf>
    <xf numFmtId="38" fontId="2" fillId="2" borderId="10" xfId="0" applyNumberFormat="1" applyFont="1" applyFill="1" applyBorder="1" applyAlignment="1" applyProtection="1">
      <alignment vertical="center"/>
    </xf>
    <xf numFmtId="3" fontId="1" fillId="3" borderId="3" xfId="0" applyNumberFormat="1" applyFont="1" applyFill="1" applyBorder="1" applyAlignment="1" applyProtection="1">
      <alignment vertical="center"/>
      <protection locked="0"/>
    </xf>
    <xf numFmtId="3" fontId="25" fillId="0" borderId="0" xfId="0" applyNumberFormat="1" applyFont="1"/>
    <xf numFmtId="3" fontId="1" fillId="10" borderId="1" xfId="0" applyNumberFormat="1" applyFont="1" applyFill="1" applyBorder="1" applyAlignment="1" applyProtection="1">
      <alignment vertical="center"/>
      <protection locked="0"/>
    </xf>
    <xf numFmtId="4" fontId="1" fillId="10" borderId="3" xfId="0" applyNumberFormat="1" applyFont="1" applyFill="1" applyBorder="1" applyAlignment="1" applyProtection="1">
      <alignment vertical="center"/>
      <protection locked="0"/>
    </xf>
    <xf numFmtId="0" fontId="26" fillId="0" borderId="0" xfId="0" applyFont="1" applyBorder="1" applyProtection="1">
      <protection locked="0"/>
    </xf>
    <xf numFmtId="0" fontId="26" fillId="9" borderId="0" xfId="0" applyFont="1" applyFill="1" applyBorder="1" applyProtection="1">
      <protection locked="0"/>
    </xf>
    <xf numFmtId="0" fontId="0" fillId="9" borderId="0" xfId="0" applyFill="1" applyBorder="1" applyProtection="1">
      <protection locked="0"/>
    </xf>
    <xf numFmtId="0" fontId="0" fillId="9" borderId="0" xfId="0" applyFill="1" applyProtection="1">
      <protection locked="0"/>
    </xf>
    <xf numFmtId="0" fontId="27" fillId="10" borderId="0" xfId="0" applyFont="1" applyFill="1" applyBorder="1" applyAlignment="1" applyProtection="1">
      <alignment horizontal="left"/>
      <protection locked="0"/>
    </xf>
    <xf numFmtId="3" fontId="3" fillId="3" borderId="74" xfId="0" applyNumberFormat="1" applyFont="1" applyFill="1" applyBorder="1" applyAlignment="1" applyProtection="1">
      <alignment horizontal="left" vertical="center"/>
      <protection locked="0"/>
    </xf>
    <xf numFmtId="3" fontId="3" fillId="3" borderId="73" xfId="0" applyNumberFormat="1" applyFont="1" applyFill="1" applyBorder="1" applyAlignment="1" applyProtection="1">
      <alignment horizontal="left" vertical="center"/>
      <protection locked="0"/>
    </xf>
    <xf numFmtId="3" fontId="1" fillId="3" borderId="73" xfId="0" applyNumberFormat="1" applyFont="1" applyFill="1" applyBorder="1" applyAlignment="1" applyProtection="1">
      <alignment vertical="center"/>
      <protection locked="0"/>
    </xf>
    <xf numFmtId="3" fontId="1" fillId="3" borderId="73" xfId="0" applyNumberFormat="1" applyFont="1" applyFill="1" applyBorder="1" applyAlignment="1" applyProtection="1">
      <alignment horizontal="center" vertical="center"/>
      <protection locked="0"/>
    </xf>
    <xf numFmtId="40" fontId="1" fillId="3" borderId="74" xfId="0" applyNumberFormat="1" applyFont="1" applyFill="1" applyBorder="1" applyAlignment="1" applyProtection="1">
      <alignment vertical="center"/>
      <protection locked="0"/>
    </xf>
    <xf numFmtId="40" fontId="1" fillId="0" borderId="73" xfId="0" applyNumberFormat="1" applyFont="1" applyBorder="1" applyAlignment="1" applyProtection="1">
      <alignment vertical="center"/>
    </xf>
    <xf numFmtId="3" fontId="1" fillId="11" borderId="1" xfId="0" applyNumberFormat="1" applyFont="1" applyFill="1" applyBorder="1" applyAlignment="1" applyProtection="1">
      <alignment vertical="center" wrapText="1"/>
      <protection locked="0"/>
    </xf>
    <xf numFmtId="0" fontId="1" fillId="0" borderId="73" xfId="0" applyFont="1" applyBorder="1" applyProtection="1">
      <protection locked="0"/>
    </xf>
    <xf numFmtId="0" fontId="0" fillId="0" borderId="73" xfId="0" applyBorder="1" applyProtection="1">
      <protection locked="0"/>
    </xf>
    <xf numFmtId="0" fontId="1" fillId="0" borderId="73" xfId="0" applyFont="1" applyBorder="1" applyAlignment="1" applyProtection="1">
      <alignment vertical="center" wrapText="1"/>
      <protection locked="0"/>
    </xf>
    <xf numFmtId="0" fontId="1" fillId="11" borderId="73" xfId="0" applyFont="1" applyFill="1" applyBorder="1" applyProtection="1">
      <protection locked="0"/>
    </xf>
    <xf numFmtId="0" fontId="1" fillId="11" borderId="73" xfId="0" applyFont="1" applyFill="1" applyBorder="1" applyAlignment="1" applyProtection="1">
      <alignment vertical="center" wrapText="1"/>
      <protection locked="0"/>
    </xf>
    <xf numFmtId="4" fontId="1" fillId="11" borderId="3" xfId="0" applyNumberFormat="1" applyFont="1" applyFill="1" applyBorder="1" applyAlignment="1" applyProtection="1">
      <alignment vertical="center"/>
      <protection locked="0"/>
    </xf>
    <xf numFmtId="3" fontId="1" fillId="3" borderId="73" xfId="0" applyNumberFormat="1" applyFont="1" applyFill="1" applyBorder="1" applyAlignment="1" applyProtection="1">
      <alignment vertical="center" wrapText="1"/>
      <protection locked="0"/>
    </xf>
    <xf numFmtId="3" fontId="1" fillId="11" borderId="73" xfId="0" applyNumberFormat="1" applyFont="1" applyFill="1" applyBorder="1" applyAlignment="1" applyProtection="1">
      <alignment vertical="center" wrapText="1"/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2" fillId="4" borderId="6" xfId="0" applyFont="1" applyFill="1" applyBorder="1" applyAlignment="1" applyProtection="1">
      <alignment horizontal="center" vertical="center" wrapText="1"/>
    </xf>
    <xf numFmtId="3" fontId="1" fillId="10" borderId="73" xfId="0" applyNumberFormat="1" applyFont="1" applyFill="1" applyBorder="1" applyAlignment="1" applyProtection="1">
      <alignment vertical="center"/>
      <protection locked="0"/>
    </xf>
    <xf numFmtId="0" fontId="0" fillId="0" borderId="31" xfId="0" applyBorder="1" applyAlignment="1">
      <alignment wrapText="1"/>
    </xf>
    <xf numFmtId="0" fontId="0" fillId="0" borderId="43" xfId="0" applyBorder="1" applyAlignment="1">
      <alignment wrapText="1"/>
    </xf>
    <xf numFmtId="40" fontId="6" fillId="4" borderId="70" xfId="0" applyNumberFormat="1" applyFont="1" applyFill="1" applyBorder="1" applyAlignment="1" applyProtection="1">
      <alignment horizontal="center" vertical="center" textRotation="90" wrapText="1"/>
    </xf>
    <xf numFmtId="0" fontId="6" fillId="4" borderId="8" xfId="0" applyFont="1" applyFill="1" applyBorder="1" applyAlignment="1" applyProtection="1">
      <alignment horizontal="center" vertical="center" textRotation="90" wrapText="1"/>
    </xf>
    <xf numFmtId="40" fontId="2" fillId="4" borderId="10" xfId="0" applyNumberFormat="1" applyFont="1" applyFill="1" applyBorder="1" applyAlignment="1" applyProtection="1">
      <alignment horizontal="center" vertical="center" wrapText="1"/>
    </xf>
    <xf numFmtId="0" fontId="2" fillId="4" borderId="11" xfId="0" applyFont="1" applyFill="1" applyBorder="1" applyAlignment="1" applyProtection="1">
      <alignment horizontal="center" vertical="center" wrapText="1"/>
    </xf>
    <xf numFmtId="0" fontId="2" fillId="4" borderId="12" xfId="0" applyFont="1" applyFill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4" fontId="2" fillId="5" borderId="30" xfId="0" applyNumberFormat="1" applyFont="1" applyFill="1" applyBorder="1" applyAlignment="1" applyProtection="1">
      <alignment horizontal="center" vertical="center"/>
    </xf>
    <xf numFmtId="4" fontId="2" fillId="5" borderId="32" xfId="0" applyNumberFormat="1" applyFont="1" applyFill="1" applyBorder="1" applyAlignment="1" applyProtection="1">
      <alignment horizontal="center" vertical="center"/>
    </xf>
    <xf numFmtId="0" fontId="2" fillId="4" borderId="10" xfId="0" applyFont="1" applyFill="1" applyBorder="1" applyAlignment="1" applyProtection="1">
      <alignment horizontal="center" vertical="center" wrapText="1"/>
    </xf>
    <xf numFmtId="0" fontId="2" fillId="4" borderId="3" xfId="0" applyFont="1" applyFill="1" applyBorder="1" applyAlignment="1" applyProtection="1">
      <alignment horizontal="center" vertical="center" wrapText="1"/>
    </xf>
    <xf numFmtId="0" fontId="2" fillId="10" borderId="0" xfId="0" applyFont="1" applyFill="1" applyBorder="1" applyAlignment="1" applyProtection="1">
      <alignment horizontal="left"/>
      <protection locked="0"/>
    </xf>
    <xf numFmtId="0" fontId="2" fillId="4" borderId="70" xfId="0" applyFont="1" applyFill="1" applyBorder="1" applyAlignment="1" applyProtection="1">
      <alignment horizontal="center" vertical="center" wrapText="1"/>
    </xf>
    <xf numFmtId="0" fontId="2" fillId="4" borderId="8" xfId="0" applyFont="1" applyFill="1" applyBorder="1" applyAlignment="1" applyProtection="1">
      <alignment horizontal="center" vertical="center" wrapText="1"/>
    </xf>
    <xf numFmtId="0" fontId="2" fillId="4" borderId="70" xfId="0" applyFont="1" applyFill="1" applyBorder="1" applyAlignment="1" applyProtection="1">
      <alignment horizontal="center" vertical="center" textRotation="90" wrapText="1"/>
    </xf>
    <xf numFmtId="0" fontId="2" fillId="4" borderId="8" xfId="0" applyFont="1" applyFill="1" applyBorder="1" applyAlignment="1" applyProtection="1">
      <alignment horizontal="center" vertical="center" textRotation="90" wrapText="1"/>
    </xf>
    <xf numFmtId="0" fontId="2" fillId="4" borderId="71" xfId="0" applyFont="1" applyFill="1" applyBorder="1" applyAlignment="1" applyProtection="1">
      <alignment horizontal="center" vertical="center" wrapText="1"/>
    </xf>
    <xf numFmtId="0" fontId="2" fillId="4" borderId="9" xfId="0" applyFont="1" applyFill="1" applyBorder="1" applyAlignment="1" applyProtection="1">
      <alignment horizontal="center" vertical="center" wrapText="1"/>
    </xf>
    <xf numFmtId="0" fontId="2" fillId="4" borderId="64" xfId="0" applyFont="1" applyFill="1" applyBorder="1" applyAlignment="1" applyProtection="1">
      <alignment horizontal="center" vertical="center" textRotation="90" wrapText="1"/>
    </xf>
    <xf numFmtId="0" fontId="2" fillId="4" borderId="6" xfId="0" applyFont="1" applyFill="1" applyBorder="1" applyAlignment="1" applyProtection="1">
      <alignment horizontal="center" vertical="center" textRotation="90" wrapText="1"/>
    </xf>
    <xf numFmtId="0" fontId="2" fillId="0" borderId="0" xfId="0" applyFont="1" applyBorder="1" applyAlignment="1" applyProtection="1">
      <alignment horizontal="left"/>
      <protection locked="0"/>
    </xf>
    <xf numFmtId="4" fontId="2" fillId="0" borderId="0" xfId="0" applyNumberFormat="1" applyFont="1" applyBorder="1" applyAlignment="1" applyProtection="1">
      <alignment horizontal="left"/>
      <protection locked="0"/>
    </xf>
    <xf numFmtId="40" fontId="2" fillId="5" borderId="30" xfId="0" applyNumberFormat="1" applyFont="1" applyFill="1" applyBorder="1" applyAlignment="1" applyProtection="1">
      <alignment horizontal="center" vertical="center"/>
    </xf>
    <xf numFmtId="40" fontId="2" fillId="5" borderId="43" xfId="0" applyNumberFormat="1" applyFont="1" applyFill="1" applyBorder="1" applyAlignment="1" applyProtection="1">
      <alignment horizontal="center" vertical="center"/>
    </xf>
    <xf numFmtId="3" fontId="2" fillId="2" borderId="35" xfId="0" applyNumberFormat="1" applyFont="1" applyFill="1" applyBorder="1" applyAlignment="1" applyProtection="1">
      <alignment horizontal="left" vertical="center" wrapText="1"/>
    </xf>
    <xf numFmtId="3" fontId="2" fillId="2" borderId="36" xfId="0" applyNumberFormat="1" applyFont="1" applyFill="1" applyBorder="1" applyAlignment="1" applyProtection="1">
      <alignment horizontal="left" vertical="center" wrapText="1"/>
    </xf>
    <xf numFmtId="0" fontId="2" fillId="4" borderId="64" xfId="0" applyFont="1" applyFill="1" applyBorder="1" applyAlignment="1" applyProtection="1">
      <alignment horizontal="center" vertical="center" wrapText="1"/>
    </xf>
    <xf numFmtId="0" fontId="2" fillId="4" borderId="6" xfId="0" applyFont="1" applyFill="1" applyBorder="1" applyAlignment="1" applyProtection="1">
      <alignment horizontal="center" vertical="center" wrapText="1"/>
    </xf>
    <xf numFmtId="40" fontId="6" fillId="4" borderId="70" xfId="0" applyNumberFormat="1" applyFont="1" applyFill="1" applyBorder="1" applyAlignment="1" applyProtection="1">
      <alignment horizontal="center" vertical="center" wrapText="1"/>
    </xf>
    <xf numFmtId="0" fontId="6" fillId="4" borderId="8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6" fillId="6" borderId="30" xfId="0" applyFont="1" applyFill="1" applyBorder="1" applyAlignment="1">
      <alignment wrapText="1"/>
    </xf>
    <xf numFmtId="0" fontId="0" fillId="6" borderId="31" xfId="0" applyFill="1" applyBorder="1" applyAlignment="1">
      <alignment wrapText="1"/>
    </xf>
    <xf numFmtId="0" fontId="0" fillId="6" borderId="43" xfId="0" applyFill="1" applyBorder="1" applyAlignment="1">
      <alignment wrapText="1"/>
    </xf>
    <xf numFmtId="0" fontId="3" fillId="0" borderId="72" xfId="0" applyFont="1" applyFill="1" applyBorder="1" applyAlignment="1">
      <alignment wrapText="1"/>
    </xf>
    <xf numFmtId="0" fontId="6" fillId="0" borderId="30" xfId="0" applyFont="1" applyBorder="1" applyAlignment="1">
      <alignment wrapText="1"/>
    </xf>
  </cellXfs>
  <cellStyles count="41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Normal" xfId="0" builtinId="0"/>
    <cellStyle name="Normal 2" xfId="1"/>
    <cellStyle name="Normal 3" xfId="2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8193" name="Text 1"/>
        <xdr:cNvSpPr txBox="1">
          <a:spLocks noChangeArrowheads="1"/>
        </xdr:cNvSpPr>
      </xdr:nvSpPr>
      <xdr:spPr bwMode="auto">
        <a:xfrm>
          <a:off x="81280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Milestone 1: </a:t>
          </a:r>
        </a:p>
        <a:p>
          <a:pPr algn="ctr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Arial"/>
            <a:ea typeface="Arial"/>
            <a:cs typeface="Arial"/>
          </a:endParaRP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7280" name="Line 2"/>
        <xdr:cNvSpPr>
          <a:spLocks noChangeShapeType="1"/>
        </xdr:cNvSpPr>
      </xdr:nvSpPr>
      <xdr:spPr bwMode="auto">
        <a:xfrm>
          <a:off x="70961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7281" name="Line 3"/>
        <xdr:cNvSpPr>
          <a:spLocks noChangeShapeType="1"/>
        </xdr:cNvSpPr>
      </xdr:nvSpPr>
      <xdr:spPr bwMode="auto">
        <a:xfrm>
          <a:off x="70961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7282" name="Line 4"/>
        <xdr:cNvSpPr>
          <a:spLocks noChangeShapeType="1"/>
        </xdr:cNvSpPr>
      </xdr:nvSpPr>
      <xdr:spPr bwMode="auto">
        <a:xfrm>
          <a:off x="70961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7283" name="Line 5"/>
        <xdr:cNvSpPr>
          <a:spLocks noChangeShapeType="1"/>
        </xdr:cNvSpPr>
      </xdr:nvSpPr>
      <xdr:spPr bwMode="auto">
        <a:xfrm>
          <a:off x="70961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8198" name="Text 9"/>
        <xdr:cNvSpPr txBox="1">
          <a:spLocks noChangeArrowheads="1"/>
        </xdr:cNvSpPr>
      </xdr:nvSpPr>
      <xdr:spPr bwMode="auto">
        <a:xfrm>
          <a:off x="81280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36 m rep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8199" name="Text 10"/>
        <xdr:cNvSpPr txBox="1">
          <a:spLocks noChangeArrowheads="1"/>
        </xdr:cNvSpPr>
      </xdr:nvSpPr>
      <xdr:spPr bwMode="auto">
        <a:xfrm>
          <a:off x="81280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Milestone 2:</a:t>
          </a:r>
        </a:p>
        <a:p>
          <a:pPr algn="ctr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Arial"/>
            <a:ea typeface="Arial"/>
            <a:cs typeface="Arial"/>
          </a:endParaRPr>
        </a:p>
        <a:p>
          <a:pPr algn="ctr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Arial"/>
            <a:ea typeface="Arial"/>
            <a:cs typeface="Arial"/>
          </a:endParaRP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7286" name="Line 8"/>
        <xdr:cNvSpPr>
          <a:spLocks noChangeShapeType="1"/>
        </xdr:cNvSpPr>
      </xdr:nvSpPr>
      <xdr:spPr bwMode="auto">
        <a:xfrm>
          <a:off x="70961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17287" name="Line 9"/>
        <xdr:cNvSpPr>
          <a:spLocks noChangeShapeType="1"/>
        </xdr:cNvSpPr>
      </xdr:nvSpPr>
      <xdr:spPr bwMode="auto">
        <a:xfrm>
          <a:off x="7096125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30</xdr:row>
      <xdr:rowOff>0</xdr:rowOff>
    </xdr:from>
    <xdr:to>
      <xdr:col>9</xdr:col>
      <xdr:colOff>0</xdr:colOff>
      <xdr:row>30</xdr:row>
      <xdr:rowOff>0</xdr:rowOff>
    </xdr:to>
    <xdr:sp macro="" textlink="">
      <xdr:nvSpPr>
        <xdr:cNvPr id="17288" name="Line 10"/>
        <xdr:cNvSpPr>
          <a:spLocks noChangeShapeType="1"/>
        </xdr:cNvSpPr>
      </xdr:nvSpPr>
      <xdr:spPr bwMode="auto">
        <a:xfrm>
          <a:off x="7096125" y="6248400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30</xdr:row>
      <xdr:rowOff>0</xdr:rowOff>
    </xdr:from>
    <xdr:to>
      <xdr:col>9</xdr:col>
      <xdr:colOff>0</xdr:colOff>
      <xdr:row>30</xdr:row>
      <xdr:rowOff>0</xdr:rowOff>
    </xdr:to>
    <xdr:sp macro="" textlink="">
      <xdr:nvSpPr>
        <xdr:cNvPr id="17289" name="Line 11"/>
        <xdr:cNvSpPr>
          <a:spLocks noChangeShapeType="1"/>
        </xdr:cNvSpPr>
      </xdr:nvSpPr>
      <xdr:spPr bwMode="auto">
        <a:xfrm>
          <a:off x="7096125" y="6248400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30</xdr:row>
      <xdr:rowOff>0</xdr:rowOff>
    </xdr:from>
    <xdr:to>
      <xdr:col>9</xdr:col>
      <xdr:colOff>0</xdr:colOff>
      <xdr:row>30</xdr:row>
      <xdr:rowOff>0</xdr:rowOff>
    </xdr:to>
    <xdr:sp macro="" textlink="">
      <xdr:nvSpPr>
        <xdr:cNvPr id="17290" name="Line 12"/>
        <xdr:cNvSpPr>
          <a:spLocks noChangeShapeType="1"/>
        </xdr:cNvSpPr>
      </xdr:nvSpPr>
      <xdr:spPr bwMode="auto">
        <a:xfrm>
          <a:off x="7096125" y="6248400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291" name="Line 13"/>
        <xdr:cNvSpPr>
          <a:spLocks noChangeShapeType="1"/>
        </xdr:cNvSpPr>
      </xdr:nvSpPr>
      <xdr:spPr bwMode="auto">
        <a:xfrm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292" name="Line 14"/>
        <xdr:cNvSpPr>
          <a:spLocks noChangeShapeType="1"/>
        </xdr:cNvSpPr>
      </xdr:nvSpPr>
      <xdr:spPr bwMode="auto">
        <a:xfrm flipV="1"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F20884" mc:Ignorable="a14" a14:legacySpreadsheetColorIndex="1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8207" name="Text 70"/>
        <xdr:cNvSpPr txBox="1">
          <a:spLocks noChangeArrowheads="1"/>
        </xdr:cNvSpPr>
      </xdr:nvSpPr>
      <xdr:spPr bwMode="auto">
        <a:xfrm>
          <a:off x="81280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Milestone 3: </a:t>
          </a:r>
        </a:p>
        <a:p>
          <a:pPr algn="ctr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Arial"/>
            <a:ea typeface="Arial"/>
            <a:cs typeface="Arial"/>
          </a:endParaRP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8209" name="Text 73"/>
        <xdr:cNvSpPr txBox="1">
          <a:spLocks noChangeArrowheads="1"/>
        </xdr:cNvSpPr>
      </xdr:nvSpPr>
      <xdr:spPr bwMode="auto">
        <a:xfrm>
          <a:off x="81280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Milestone 4: </a:t>
          </a:r>
        </a:p>
        <a:p>
          <a:pPr algn="ctr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Arial"/>
            <a:ea typeface="Arial"/>
            <a:cs typeface="Arial"/>
          </a:endParaRP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8210" name="Text 74"/>
        <xdr:cNvSpPr txBox="1">
          <a:spLocks noChangeArrowheads="1"/>
        </xdr:cNvSpPr>
      </xdr:nvSpPr>
      <xdr:spPr bwMode="auto">
        <a:xfrm>
          <a:off x="81280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Final 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48 m rep</a:t>
          </a:r>
        </a:p>
      </xdr:txBody>
    </xdr:sp>
    <xdr:clientData/>
  </xdr:twoCellAnchor>
  <xdr:twoCellAnchor>
    <xdr:from>
      <xdr:col>9</xdr:col>
      <xdr:colOff>0</xdr:colOff>
      <xdr:row>0</xdr:row>
      <xdr:rowOff>0</xdr:rowOff>
    </xdr:from>
    <xdr:to>
      <xdr:col>9</xdr:col>
      <xdr:colOff>0</xdr:colOff>
      <xdr:row>0</xdr:row>
      <xdr:rowOff>0</xdr:rowOff>
    </xdr:to>
    <xdr:sp macro="" textlink="">
      <xdr:nvSpPr>
        <xdr:cNvPr id="8211" name="Text 75"/>
        <xdr:cNvSpPr txBox="1">
          <a:spLocks noChangeArrowheads="1"/>
        </xdr:cNvSpPr>
      </xdr:nvSpPr>
      <xdr:spPr bwMode="auto">
        <a:xfrm>
          <a:off x="812800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42 m rep</a:t>
          </a:r>
        </a:p>
      </xdr:txBody>
    </xdr:sp>
    <xdr:clientData/>
  </xdr:twoCellAnchor>
  <xdr:twoCellAnchor>
    <xdr:from>
      <xdr:col>9</xdr:col>
      <xdr:colOff>0</xdr:colOff>
      <xdr:row>70</xdr:row>
      <xdr:rowOff>0</xdr:rowOff>
    </xdr:from>
    <xdr:to>
      <xdr:col>9</xdr:col>
      <xdr:colOff>0</xdr:colOff>
      <xdr:row>70</xdr:row>
      <xdr:rowOff>0</xdr:rowOff>
    </xdr:to>
    <xdr:sp macro="" textlink="">
      <xdr:nvSpPr>
        <xdr:cNvPr id="17297" name="Line 20"/>
        <xdr:cNvSpPr>
          <a:spLocks noChangeShapeType="1"/>
        </xdr:cNvSpPr>
      </xdr:nvSpPr>
      <xdr:spPr bwMode="auto">
        <a:xfrm>
          <a:off x="7096125" y="15925800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298" name="Line 21"/>
        <xdr:cNvSpPr>
          <a:spLocks noChangeShapeType="1"/>
        </xdr:cNvSpPr>
      </xdr:nvSpPr>
      <xdr:spPr bwMode="auto">
        <a:xfrm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299" name="Line 22"/>
        <xdr:cNvSpPr>
          <a:spLocks noChangeShapeType="1"/>
        </xdr:cNvSpPr>
      </xdr:nvSpPr>
      <xdr:spPr bwMode="auto">
        <a:xfrm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00" name="Line 23"/>
        <xdr:cNvSpPr>
          <a:spLocks noChangeShapeType="1"/>
        </xdr:cNvSpPr>
      </xdr:nvSpPr>
      <xdr:spPr bwMode="auto">
        <a:xfrm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01" name="Line 24"/>
        <xdr:cNvSpPr>
          <a:spLocks noChangeShapeType="1"/>
        </xdr:cNvSpPr>
      </xdr:nvSpPr>
      <xdr:spPr bwMode="auto">
        <a:xfrm flipV="1"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F20884" mc:Ignorable="a14" a14:legacySpreadsheetColorIndex="1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02" name="Line 25"/>
        <xdr:cNvSpPr>
          <a:spLocks noChangeShapeType="1"/>
        </xdr:cNvSpPr>
      </xdr:nvSpPr>
      <xdr:spPr bwMode="auto">
        <a:xfrm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03" name="Line 26"/>
        <xdr:cNvSpPr>
          <a:spLocks noChangeShapeType="1"/>
        </xdr:cNvSpPr>
      </xdr:nvSpPr>
      <xdr:spPr bwMode="auto">
        <a:xfrm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04" name="Drawing 134"/>
        <xdr:cNvSpPr>
          <a:spLocks/>
        </xdr:cNvSpPr>
      </xdr:nvSpPr>
      <xdr:spPr bwMode="auto">
        <a:xfrm>
          <a:off x="7096125" y="16983075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16384" h="16384">
              <a:moveTo>
                <a:pt x="16384" y="16384"/>
              </a:moveTo>
              <a:lnTo>
                <a:pt x="0" y="16384"/>
              </a:lnTo>
              <a:lnTo>
                <a:pt x="0" y="0"/>
              </a:lnTo>
              <a:lnTo>
                <a:pt x="16384" y="0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05" name="Drawing 136"/>
        <xdr:cNvSpPr>
          <a:spLocks/>
        </xdr:cNvSpPr>
      </xdr:nvSpPr>
      <xdr:spPr bwMode="auto">
        <a:xfrm>
          <a:off x="7096125" y="14792325"/>
          <a:ext cx="0" cy="2190750"/>
        </a:xfrm>
        <a:custGeom>
          <a:avLst/>
          <a:gdLst>
            <a:gd name="T0" fmla="*/ 0 w 16384"/>
            <a:gd name="T1" fmla="*/ 2147483647 h 16384"/>
            <a:gd name="T2" fmla="*/ 0 w 16384"/>
            <a:gd name="T3" fmla="*/ 2147483647 h 16384"/>
            <a:gd name="T4" fmla="*/ 0 w 16384"/>
            <a:gd name="T5" fmla="*/ 2147483647 h 16384"/>
            <a:gd name="T6" fmla="*/ 0 w 16384"/>
            <a:gd name="T7" fmla="*/ 2147483647 h 16384"/>
            <a:gd name="T8" fmla="*/ 0 w 16384"/>
            <a:gd name="T9" fmla="*/ 2147483647 h 16384"/>
            <a:gd name="T10" fmla="*/ 0 w 16384"/>
            <a:gd name="T11" fmla="*/ 2147483647 h 16384"/>
            <a:gd name="T12" fmla="*/ 0 w 16384"/>
            <a:gd name="T13" fmla="*/ 2147483647 h 16384"/>
            <a:gd name="T14" fmla="*/ 0 w 16384"/>
            <a:gd name="T15" fmla="*/ 2147483647 h 16384"/>
            <a:gd name="T16" fmla="*/ 0 w 16384"/>
            <a:gd name="T17" fmla="*/ 2147483647 h 16384"/>
            <a:gd name="T18" fmla="*/ 0 w 16384"/>
            <a:gd name="T19" fmla="*/ 0 h 16384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0" t="0" r="r" b="b"/>
          <a:pathLst>
            <a:path w="16384" h="16384">
              <a:moveTo>
                <a:pt x="8192" y="16384"/>
              </a:moveTo>
              <a:lnTo>
                <a:pt x="8192" y="13423"/>
              </a:lnTo>
              <a:lnTo>
                <a:pt x="16384" y="13423"/>
              </a:lnTo>
              <a:lnTo>
                <a:pt x="16384" y="11943"/>
              </a:lnTo>
              <a:lnTo>
                <a:pt x="8192" y="11943"/>
              </a:lnTo>
              <a:lnTo>
                <a:pt x="8192" y="5922"/>
              </a:lnTo>
              <a:lnTo>
                <a:pt x="0" y="5922"/>
              </a:lnTo>
              <a:lnTo>
                <a:pt x="0" y="4441"/>
              </a:lnTo>
              <a:lnTo>
                <a:pt x="8192" y="4441"/>
              </a:lnTo>
              <a:lnTo>
                <a:pt x="8192" y="0"/>
              </a:lnTo>
            </a:path>
          </a:pathLst>
        </a:cu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24765" cap="flat" cmpd="sng">
              <a:solidFill>
                <a:srgbClr xmlns:mc="http://schemas.openxmlformats.org/markup-compatibility/2006" val="F20884" mc:Ignorable="a14" a14:legacySpreadsheetColorIndex="14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</xdr:sp>
    <xdr:clientData/>
  </xdr:twoCellAnchor>
  <xdr:twoCellAnchor>
    <xdr:from>
      <xdr:col>9</xdr:col>
      <xdr:colOff>0</xdr:colOff>
      <xdr:row>57</xdr:row>
      <xdr:rowOff>0</xdr:rowOff>
    </xdr:from>
    <xdr:to>
      <xdr:col>9</xdr:col>
      <xdr:colOff>0</xdr:colOff>
      <xdr:row>65</xdr:row>
      <xdr:rowOff>0</xdr:rowOff>
    </xdr:to>
    <xdr:sp macro="" textlink="">
      <xdr:nvSpPr>
        <xdr:cNvPr id="17306" name="Drawing 137"/>
        <xdr:cNvSpPr>
          <a:spLocks/>
        </xdr:cNvSpPr>
      </xdr:nvSpPr>
      <xdr:spPr bwMode="auto">
        <a:xfrm>
          <a:off x="7096125" y="12839700"/>
          <a:ext cx="0" cy="2266950"/>
        </a:xfrm>
        <a:custGeom>
          <a:avLst/>
          <a:gdLst>
            <a:gd name="T0" fmla="*/ 0 w 16384"/>
            <a:gd name="T1" fmla="*/ 2147483647 h 16384"/>
            <a:gd name="T2" fmla="*/ 0 w 16384"/>
            <a:gd name="T3" fmla="*/ 2147483647 h 16384"/>
            <a:gd name="T4" fmla="*/ 0 w 16384"/>
            <a:gd name="T5" fmla="*/ 2147483647 h 16384"/>
            <a:gd name="T6" fmla="*/ 0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16384" h="16384">
              <a:moveTo>
                <a:pt x="0" y="16384"/>
              </a:moveTo>
              <a:lnTo>
                <a:pt x="0" y="2427"/>
              </a:lnTo>
              <a:lnTo>
                <a:pt x="16384" y="2427"/>
              </a:lnTo>
              <a:lnTo>
                <a:pt x="16384" y="0"/>
              </a:lnTo>
              <a:lnTo>
                <a:pt x="0" y="0"/>
              </a:lnTo>
            </a:path>
          </a:pathLst>
        </a:cu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24765" cap="flat" cmpd="sng">
              <a:solidFill>
                <a:srgbClr xmlns:mc="http://schemas.openxmlformats.org/markup-compatibility/2006" val="F20884" mc:Ignorable="a14" a14:legacySpreadsheetColorIndex="14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</xdr:sp>
    <xdr:clientData/>
  </xdr:twoCellAnchor>
  <xdr:twoCellAnchor>
    <xdr:from>
      <xdr:col>9</xdr:col>
      <xdr:colOff>0</xdr:colOff>
      <xdr:row>35</xdr:row>
      <xdr:rowOff>0</xdr:rowOff>
    </xdr:from>
    <xdr:to>
      <xdr:col>9</xdr:col>
      <xdr:colOff>0</xdr:colOff>
      <xdr:row>49</xdr:row>
      <xdr:rowOff>104775</xdr:rowOff>
    </xdr:to>
    <xdr:sp macro="" textlink="">
      <xdr:nvSpPr>
        <xdr:cNvPr id="17307" name="Drawing 138"/>
        <xdr:cNvSpPr>
          <a:spLocks/>
        </xdr:cNvSpPr>
      </xdr:nvSpPr>
      <xdr:spPr bwMode="auto">
        <a:xfrm>
          <a:off x="7096125" y="7134225"/>
          <a:ext cx="0" cy="3600450"/>
        </a:xfrm>
        <a:custGeom>
          <a:avLst/>
          <a:gdLst>
            <a:gd name="T0" fmla="*/ 0 w 16384"/>
            <a:gd name="T1" fmla="*/ 2147483647 h 16384"/>
            <a:gd name="T2" fmla="*/ 0 w 16384"/>
            <a:gd name="T3" fmla="*/ 2147483647 h 16384"/>
            <a:gd name="T4" fmla="*/ 0 w 16384"/>
            <a:gd name="T5" fmla="*/ 2147483647 h 16384"/>
            <a:gd name="T6" fmla="*/ 0 w 16384"/>
            <a:gd name="T7" fmla="*/ 2147483647 h 16384"/>
            <a:gd name="T8" fmla="*/ 0 w 16384"/>
            <a:gd name="T9" fmla="*/ 2147483647 h 16384"/>
            <a:gd name="T10" fmla="*/ 0 w 16384"/>
            <a:gd name="T11" fmla="*/ 0 h 16384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16384" h="16384">
              <a:moveTo>
                <a:pt x="16384" y="16384"/>
              </a:moveTo>
              <a:lnTo>
                <a:pt x="16384" y="11969"/>
              </a:lnTo>
              <a:lnTo>
                <a:pt x="0" y="11969"/>
              </a:lnTo>
              <a:lnTo>
                <a:pt x="0" y="5985"/>
              </a:lnTo>
              <a:lnTo>
                <a:pt x="16384" y="5985"/>
              </a:lnTo>
              <a:lnTo>
                <a:pt x="16384" y="0"/>
              </a:lnTo>
            </a:path>
          </a:pathLst>
        </a:cu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24765" cap="flat" cmpd="sng">
              <a:solidFill>
                <a:srgbClr xmlns:mc="http://schemas.openxmlformats.org/markup-compatibility/2006" val="F20884" mc:Ignorable="a14" a14:legacySpreadsheetColorIndex="14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</xdr:sp>
    <xdr:clientData/>
  </xdr:twoCellAnchor>
  <xdr:twoCellAnchor>
    <xdr:from>
      <xdr:col>9</xdr:col>
      <xdr:colOff>0</xdr:colOff>
      <xdr:row>3</xdr:row>
      <xdr:rowOff>28575</xdr:rowOff>
    </xdr:from>
    <xdr:to>
      <xdr:col>9</xdr:col>
      <xdr:colOff>0</xdr:colOff>
      <xdr:row>35</xdr:row>
      <xdr:rowOff>9525</xdr:rowOff>
    </xdr:to>
    <xdr:sp macro="" textlink="">
      <xdr:nvSpPr>
        <xdr:cNvPr id="17308" name="Drawing 139"/>
        <xdr:cNvSpPr>
          <a:spLocks/>
        </xdr:cNvSpPr>
      </xdr:nvSpPr>
      <xdr:spPr bwMode="auto">
        <a:xfrm>
          <a:off x="7096125" y="828675"/>
          <a:ext cx="0" cy="6315075"/>
        </a:xfrm>
        <a:custGeom>
          <a:avLst/>
          <a:gdLst>
            <a:gd name="T0" fmla="*/ 0 w 16384"/>
            <a:gd name="T1" fmla="*/ 0 h 16384"/>
            <a:gd name="T2" fmla="*/ 0 w 16384"/>
            <a:gd name="T3" fmla="*/ 2147483647 h 16384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16384" h="16384">
              <a:moveTo>
                <a:pt x="0" y="0"/>
              </a:moveTo>
              <a:lnTo>
                <a:pt x="16384" y="16384"/>
              </a:lnTo>
            </a:path>
          </a:pathLst>
        </a:custGeom>
        <a:noFill/>
        <a:ln w="24765" cap="flat">
          <a:solidFill>
            <a:srgbClr xmlns:mc="http://schemas.openxmlformats.org/markup-compatibility/2006" xmlns:a14="http://schemas.microsoft.com/office/drawing/2010/main" val="F20884" mc:Ignorable="a14" a14:legacySpreadsheetColorIndex="1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9</xdr:col>
      <xdr:colOff>0</xdr:colOff>
      <xdr:row>45</xdr:row>
      <xdr:rowOff>0</xdr:rowOff>
    </xdr:to>
    <xdr:sp macro="" textlink="">
      <xdr:nvSpPr>
        <xdr:cNvPr id="17309" name="Line 32"/>
        <xdr:cNvSpPr>
          <a:spLocks noChangeShapeType="1"/>
        </xdr:cNvSpPr>
      </xdr:nvSpPr>
      <xdr:spPr bwMode="auto">
        <a:xfrm>
          <a:off x="7096125" y="9486900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9</xdr:col>
      <xdr:colOff>0</xdr:colOff>
      <xdr:row>45</xdr:row>
      <xdr:rowOff>0</xdr:rowOff>
    </xdr:to>
    <xdr:sp macro="" textlink="">
      <xdr:nvSpPr>
        <xdr:cNvPr id="17310" name="Line 33"/>
        <xdr:cNvSpPr>
          <a:spLocks noChangeShapeType="1"/>
        </xdr:cNvSpPr>
      </xdr:nvSpPr>
      <xdr:spPr bwMode="auto">
        <a:xfrm>
          <a:off x="7096125" y="9486900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11" name="Line 34"/>
        <xdr:cNvSpPr>
          <a:spLocks noChangeShapeType="1"/>
        </xdr:cNvSpPr>
      </xdr:nvSpPr>
      <xdr:spPr bwMode="auto">
        <a:xfrm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12" name="Line 35"/>
        <xdr:cNvSpPr>
          <a:spLocks noChangeShapeType="1"/>
        </xdr:cNvSpPr>
      </xdr:nvSpPr>
      <xdr:spPr bwMode="auto">
        <a:xfrm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71</xdr:row>
      <xdr:rowOff>76200</xdr:rowOff>
    </xdr:from>
    <xdr:to>
      <xdr:col>9</xdr:col>
      <xdr:colOff>0</xdr:colOff>
      <xdr:row>71</xdr:row>
      <xdr:rowOff>76200</xdr:rowOff>
    </xdr:to>
    <xdr:sp macro="" textlink="">
      <xdr:nvSpPr>
        <xdr:cNvPr id="17313" name="Line 36"/>
        <xdr:cNvSpPr>
          <a:spLocks noChangeShapeType="1"/>
        </xdr:cNvSpPr>
      </xdr:nvSpPr>
      <xdr:spPr bwMode="auto">
        <a:xfrm>
          <a:off x="7096125" y="16306800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14" name="Line 37"/>
        <xdr:cNvSpPr>
          <a:spLocks noChangeShapeType="1"/>
        </xdr:cNvSpPr>
      </xdr:nvSpPr>
      <xdr:spPr bwMode="auto">
        <a:xfrm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209550</xdr:colOff>
      <xdr:row>111</xdr:row>
      <xdr:rowOff>47625</xdr:rowOff>
    </xdr:from>
    <xdr:to>
      <xdr:col>18</xdr:col>
      <xdr:colOff>514350</xdr:colOff>
      <xdr:row>111</xdr:row>
      <xdr:rowOff>47625</xdr:rowOff>
    </xdr:to>
    <xdr:sp macro="" textlink="">
      <xdr:nvSpPr>
        <xdr:cNvPr id="17315" name="Line 38"/>
        <xdr:cNvSpPr>
          <a:spLocks noChangeShapeType="1"/>
        </xdr:cNvSpPr>
      </xdr:nvSpPr>
      <xdr:spPr bwMode="auto">
        <a:xfrm>
          <a:off x="10106025" y="22317075"/>
          <a:ext cx="274320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209550</xdr:colOff>
      <xdr:row>115</xdr:row>
      <xdr:rowOff>47625</xdr:rowOff>
    </xdr:from>
    <xdr:to>
      <xdr:col>25</xdr:col>
      <xdr:colOff>9525</xdr:colOff>
      <xdr:row>115</xdr:row>
      <xdr:rowOff>47625</xdr:rowOff>
    </xdr:to>
    <xdr:sp macro="" textlink="">
      <xdr:nvSpPr>
        <xdr:cNvPr id="17316" name="Line 39"/>
        <xdr:cNvSpPr>
          <a:spLocks noChangeShapeType="1"/>
        </xdr:cNvSpPr>
      </xdr:nvSpPr>
      <xdr:spPr bwMode="auto">
        <a:xfrm>
          <a:off x="15592425" y="22888575"/>
          <a:ext cx="1019175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17" name="Line 40"/>
        <xdr:cNvSpPr>
          <a:spLocks noChangeShapeType="1"/>
        </xdr:cNvSpPr>
      </xdr:nvSpPr>
      <xdr:spPr bwMode="auto">
        <a:xfrm flipV="1"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18" name="Line 41"/>
        <xdr:cNvSpPr>
          <a:spLocks noChangeShapeType="1"/>
        </xdr:cNvSpPr>
      </xdr:nvSpPr>
      <xdr:spPr bwMode="auto">
        <a:xfrm flipV="1"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19" name="Line 42"/>
        <xdr:cNvSpPr>
          <a:spLocks noChangeShapeType="1"/>
        </xdr:cNvSpPr>
      </xdr:nvSpPr>
      <xdr:spPr bwMode="auto">
        <a:xfrm flipV="1"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20" name="Line 43"/>
        <xdr:cNvSpPr>
          <a:spLocks noChangeShapeType="1"/>
        </xdr:cNvSpPr>
      </xdr:nvSpPr>
      <xdr:spPr bwMode="auto">
        <a:xfrm flipV="1"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21" name="Line 44"/>
        <xdr:cNvSpPr>
          <a:spLocks noChangeShapeType="1"/>
        </xdr:cNvSpPr>
      </xdr:nvSpPr>
      <xdr:spPr bwMode="auto">
        <a:xfrm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22" name="Line 45"/>
        <xdr:cNvSpPr>
          <a:spLocks noChangeShapeType="1"/>
        </xdr:cNvSpPr>
      </xdr:nvSpPr>
      <xdr:spPr bwMode="auto">
        <a:xfrm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23" name="Line 46"/>
        <xdr:cNvSpPr>
          <a:spLocks noChangeShapeType="1"/>
        </xdr:cNvSpPr>
      </xdr:nvSpPr>
      <xdr:spPr bwMode="auto">
        <a:xfrm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24" name="Line 47"/>
        <xdr:cNvSpPr>
          <a:spLocks noChangeShapeType="1"/>
        </xdr:cNvSpPr>
      </xdr:nvSpPr>
      <xdr:spPr bwMode="auto">
        <a:xfrm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25" name="Line 48"/>
        <xdr:cNvSpPr>
          <a:spLocks noChangeShapeType="1"/>
        </xdr:cNvSpPr>
      </xdr:nvSpPr>
      <xdr:spPr bwMode="auto">
        <a:xfrm flipV="1"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26" name="Line 49"/>
        <xdr:cNvSpPr>
          <a:spLocks noChangeShapeType="1"/>
        </xdr:cNvSpPr>
      </xdr:nvSpPr>
      <xdr:spPr bwMode="auto">
        <a:xfrm flipV="1"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27" name="Line 50"/>
        <xdr:cNvSpPr>
          <a:spLocks noChangeShapeType="1"/>
        </xdr:cNvSpPr>
      </xdr:nvSpPr>
      <xdr:spPr bwMode="auto">
        <a:xfrm flipV="1"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71</xdr:row>
      <xdr:rowOff>66675</xdr:rowOff>
    </xdr:from>
    <xdr:to>
      <xdr:col>9</xdr:col>
      <xdr:colOff>0</xdr:colOff>
      <xdr:row>71</xdr:row>
      <xdr:rowOff>76200</xdr:rowOff>
    </xdr:to>
    <xdr:sp macro="" textlink="">
      <xdr:nvSpPr>
        <xdr:cNvPr id="17328" name="Line 51"/>
        <xdr:cNvSpPr>
          <a:spLocks noChangeShapeType="1"/>
        </xdr:cNvSpPr>
      </xdr:nvSpPr>
      <xdr:spPr bwMode="auto">
        <a:xfrm flipV="1">
          <a:off x="7096125" y="16297275"/>
          <a:ext cx="0" cy="9525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29" name="Line 52"/>
        <xdr:cNvSpPr>
          <a:spLocks noChangeShapeType="1"/>
        </xdr:cNvSpPr>
      </xdr:nvSpPr>
      <xdr:spPr bwMode="auto">
        <a:xfrm flipV="1"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30" name="Line 53"/>
        <xdr:cNvSpPr>
          <a:spLocks noChangeShapeType="1"/>
        </xdr:cNvSpPr>
      </xdr:nvSpPr>
      <xdr:spPr bwMode="auto">
        <a:xfrm flipV="1"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31" name="Line 54"/>
        <xdr:cNvSpPr>
          <a:spLocks noChangeShapeType="1"/>
        </xdr:cNvSpPr>
      </xdr:nvSpPr>
      <xdr:spPr bwMode="auto">
        <a:xfrm flipV="1"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32" name="Line 55"/>
        <xdr:cNvSpPr>
          <a:spLocks noChangeShapeType="1"/>
        </xdr:cNvSpPr>
      </xdr:nvSpPr>
      <xdr:spPr bwMode="auto">
        <a:xfrm flipV="1"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457200</xdr:colOff>
      <xdr:row>145</xdr:row>
      <xdr:rowOff>76200</xdr:rowOff>
    </xdr:from>
    <xdr:to>
      <xdr:col>24</xdr:col>
      <xdr:colOff>85725</xdr:colOff>
      <xdr:row>145</xdr:row>
      <xdr:rowOff>76200</xdr:rowOff>
    </xdr:to>
    <xdr:sp macro="" textlink="">
      <xdr:nvSpPr>
        <xdr:cNvPr id="17333" name="Line 56"/>
        <xdr:cNvSpPr>
          <a:spLocks noChangeShapeType="1"/>
        </xdr:cNvSpPr>
      </xdr:nvSpPr>
      <xdr:spPr bwMode="auto">
        <a:xfrm>
          <a:off x="14011275" y="27203400"/>
          <a:ext cx="2066925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457200</xdr:colOff>
      <xdr:row>145</xdr:row>
      <xdr:rowOff>76200</xdr:rowOff>
    </xdr:from>
    <xdr:to>
      <xdr:col>24</xdr:col>
      <xdr:colOff>85725</xdr:colOff>
      <xdr:row>145</xdr:row>
      <xdr:rowOff>76200</xdr:rowOff>
    </xdr:to>
    <xdr:sp macro="" textlink="">
      <xdr:nvSpPr>
        <xdr:cNvPr id="17334" name="Line 57"/>
        <xdr:cNvSpPr>
          <a:spLocks noChangeShapeType="1"/>
        </xdr:cNvSpPr>
      </xdr:nvSpPr>
      <xdr:spPr bwMode="auto">
        <a:xfrm>
          <a:off x="14011275" y="27203400"/>
          <a:ext cx="2066925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35" name="Line 58"/>
        <xdr:cNvSpPr>
          <a:spLocks noChangeShapeType="1"/>
        </xdr:cNvSpPr>
      </xdr:nvSpPr>
      <xdr:spPr bwMode="auto">
        <a:xfrm>
          <a:off x="7096125" y="16983075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74</xdr:row>
      <xdr:rowOff>0</xdr:rowOff>
    </xdr:from>
    <xdr:to>
      <xdr:col>9</xdr:col>
      <xdr:colOff>0</xdr:colOff>
      <xdr:row>74</xdr:row>
      <xdr:rowOff>0</xdr:rowOff>
    </xdr:to>
    <xdr:sp macro="" textlink="">
      <xdr:nvSpPr>
        <xdr:cNvPr id="17336" name="Drawing 134"/>
        <xdr:cNvSpPr>
          <a:spLocks/>
        </xdr:cNvSpPr>
      </xdr:nvSpPr>
      <xdr:spPr bwMode="auto">
        <a:xfrm>
          <a:off x="7096125" y="16983075"/>
          <a:ext cx="0" cy="0"/>
        </a:xfrm>
        <a:custGeom>
          <a:avLst/>
          <a:gdLst>
            <a:gd name="T0" fmla="*/ 0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0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16384" h="16384">
              <a:moveTo>
                <a:pt x="16384" y="16384"/>
              </a:moveTo>
              <a:lnTo>
                <a:pt x="0" y="16384"/>
              </a:lnTo>
              <a:lnTo>
                <a:pt x="0" y="0"/>
              </a:lnTo>
              <a:lnTo>
                <a:pt x="16384" y="0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146050</xdr:colOff>
      <xdr:row>2</xdr:row>
      <xdr:rowOff>0</xdr:rowOff>
    </xdr:from>
    <xdr:to>
      <xdr:col>19</xdr:col>
      <xdr:colOff>66653</xdr:colOff>
      <xdr:row>2</xdr:row>
      <xdr:rowOff>330200</xdr:rowOff>
    </xdr:to>
    <xdr:sp macro="" textlink="">
      <xdr:nvSpPr>
        <xdr:cNvPr id="6145" name="Text 1"/>
        <xdr:cNvSpPr txBox="1">
          <a:spLocks noChangeArrowheads="1"/>
        </xdr:cNvSpPr>
      </xdr:nvSpPr>
      <xdr:spPr bwMode="auto">
        <a:xfrm>
          <a:off x="5308600" y="393700"/>
          <a:ext cx="1625600" cy="330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Milestone 1: </a:t>
          </a:r>
        </a:p>
        <a:p>
          <a:pPr algn="ctr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Arial"/>
            <a:ea typeface="Arial"/>
            <a:cs typeface="Arial"/>
          </a:endParaRPr>
        </a:p>
      </xdr:txBody>
    </xdr:sp>
    <xdr:clientData/>
  </xdr:twoCellAnchor>
  <xdr:twoCellAnchor>
    <xdr:from>
      <xdr:col>15</xdr:col>
      <xdr:colOff>142875</xdr:colOff>
      <xdr:row>2</xdr:row>
      <xdr:rowOff>333375</xdr:rowOff>
    </xdr:from>
    <xdr:to>
      <xdr:col>15</xdr:col>
      <xdr:colOff>142875</xdr:colOff>
      <xdr:row>3</xdr:row>
      <xdr:rowOff>114300</xdr:rowOff>
    </xdr:to>
    <xdr:sp macro="" textlink="">
      <xdr:nvSpPr>
        <xdr:cNvPr id="16341" name="Line 2"/>
        <xdr:cNvSpPr>
          <a:spLocks noChangeShapeType="1"/>
        </xdr:cNvSpPr>
      </xdr:nvSpPr>
      <xdr:spPr bwMode="auto">
        <a:xfrm>
          <a:off x="5429250" y="73342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142875</xdr:rowOff>
    </xdr:from>
    <xdr:to>
      <xdr:col>34</xdr:col>
      <xdr:colOff>0</xdr:colOff>
      <xdr:row>3</xdr:row>
      <xdr:rowOff>114300</xdr:rowOff>
    </xdr:to>
    <xdr:sp macro="" textlink="">
      <xdr:nvSpPr>
        <xdr:cNvPr id="16342" name="Line 3"/>
        <xdr:cNvSpPr>
          <a:spLocks noChangeShapeType="1"/>
        </xdr:cNvSpPr>
      </xdr:nvSpPr>
      <xdr:spPr bwMode="auto">
        <a:xfrm>
          <a:off x="8362950" y="542925"/>
          <a:ext cx="0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3</xdr:row>
      <xdr:rowOff>0</xdr:rowOff>
    </xdr:from>
    <xdr:to>
      <xdr:col>34</xdr:col>
      <xdr:colOff>0</xdr:colOff>
      <xdr:row>3</xdr:row>
      <xdr:rowOff>123825</xdr:rowOff>
    </xdr:to>
    <xdr:sp macro="" textlink="">
      <xdr:nvSpPr>
        <xdr:cNvPr id="16343" name="Line 4"/>
        <xdr:cNvSpPr>
          <a:spLocks noChangeShapeType="1"/>
        </xdr:cNvSpPr>
      </xdr:nvSpPr>
      <xdr:spPr bwMode="auto">
        <a:xfrm>
          <a:off x="8362950" y="74295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3</xdr:row>
      <xdr:rowOff>0</xdr:rowOff>
    </xdr:from>
    <xdr:to>
      <xdr:col>34</xdr:col>
      <xdr:colOff>0</xdr:colOff>
      <xdr:row>3</xdr:row>
      <xdr:rowOff>123825</xdr:rowOff>
    </xdr:to>
    <xdr:sp macro="" textlink="">
      <xdr:nvSpPr>
        <xdr:cNvPr id="16344" name="Line 5"/>
        <xdr:cNvSpPr>
          <a:spLocks noChangeShapeType="1"/>
        </xdr:cNvSpPr>
      </xdr:nvSpPr>
      <xdr:spPr bwMode="auto">
        <a:xfrm>
          <a:off x="8362950" y="74295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2</xdr:row>
      <xdr:rowOff>0</xdr:rowOff>
    </xdr:from>
    <xdr:to>
      <xdr:col>34</xdr:col>
      <xdr:colOff>0</xdr:colOff>
      <xdr:row>2</xdr:row>
      <xdr:rowOff>139700</xdr:rowOff>
    </xdr:to>
    <xdr:sp macro="" textlink="">
      <xdr:nvSpPr>
        <xdr:cNvPr id="6150" name="Text 9"/>
        <xdr:cNvSpPr txBox="1">
          <a:spLocks noChangeArrowheads="1"/>
        </xdr:cNvSpPr>
      </xdr:nvSpPr>
      <xdr:spPr bwMode="auto">
        <a:xfrm>
          <a:off x="9715500" y="393700"/>
          <a:ext cx="0" cy="139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36 m rep</a:t>
          </a:r>
        </a:p>
      </xdr:txBody>
    </xdr:sp>
    <xdr:clientData/>
  </xdr:twoCellAnchor>
  <xdr:twoCellAnchor>
    <xdr:from>
      <xdr:col>24</xdr:col>
      <xdr:colOff>0</xdr:colOff>
      <xdr:row>1</xdr:row>
      <xdr:rowOff>63500</xdr:rowOff>
    </xdr:from>
    <xdr:to>
      <xdr:col>29</xdr:col>
      <xdr:colOff>111312</xdr:colOff>
      <xdr:row>2</xdr:row>
      <xdr:rowOff>317500</xdr:rowOff>
    </xdr:to>
    <xdr:sp macro="" textlink="">
      <xdr:nvSpPr>
        <xdr:cNvPr id="6151" name="Text 10"/>
        <xdr:cNvSpPr txBox="1">
          <a:spLocks noChangeArrowheads="1"/>
        </xdr:cNvSpPr>
      </xdr:nvSpPr>
      <xdr:spPr bwMode="auto">
        <a:xfrm>
          <a:off x="7810500" y="381000"/>
          <a:ext cx="1092200" cy="330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Milestone 2:</a:t>
          </a:r>
        </a:p>
        <a:p>
          <a:pPr algn="ctr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Arial"/>
            <a:ea typeface="Arial"/>
            <a:cs typeface="Arial"/>
          </a:endParaRPr>
        </a:p>
        <a:p>
          <a:pPr algn="ctr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Arial"/>
            <a:ea typeface="Arial"/>
            <a:cs typeface="Arial"/>
          </a:endParaRPr>
        </a:p>
      </xdr:txBody>
    </xdr:sp>
    <xdr:clientData/>
  </xdr:twoCellAnchor>
  <xdr:twoCellAnchor>
    <xdr:from>
      <xdr:col>34</xdr:col>
      <xdr:colOff>0</xdr:colOff>
      <xdr:row>2</xdr:row>
      <xdr:rowOff>142875</xdr:rowOff>
    </xdr:from>
    <xdr:to>
      <xdr:col>34</xdr:col>
      <xdr:colOff>0</xdr:colOff>
      <xdr:row>3</xdr:row>
      <xdr:rowOff>114300</xdr:rowOff>
    </xdr:to>
    <xdr:sp macro="" textlink="">
      <xdr:nvSpPr>
        <xdr:cNvPr id="16347" name="Line 8"/>
        <xdr:cNvSpPr>
          <a:spLocks noChangeShapeType="1"/>
        </xdr:cNvSpPr>
      </xdr:nvSpPr>
      <xdr:spPr bwMode="auto">
        <a:xfrm>
          <a:off x="8362950" y="542925"/>
          <a:ext cx="0" cy="314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9525</xdr:colOff>
      <xdr:row>3</xdr:row>
      <xdr:rowOff>0</xdr:rowOff>
    </xdr:from>
    <xdr:to>
      <xdr:col>28</xdr:col>
      <xdr:colOff>9525</xdr:colOff>
      <xdr:row>3</xdr:row>
      <xdr:rowOff>123825</xdr:rowOff>
    </xdr:to>
    <xdr:sp macro="" textlink="">
      <xdr:nvSpPr>
        <xdr:cNvPr id="16348" name="Line 9"/>
        <xdr:cNvSpPr>
          <a:spLocks noChangeShapeType="1"/>
        </xdr:cNvSpPr>
      </xdr:nvSpPr>
      <xdr:spPr bwMode="auto">
        <a:xfrm>
          <a:off x="7400925" y="74295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9525</xdr:colOff>
      <xdr:row>30</xdr:row>
      <xdr:rowOff>0</xdr:rowOff>
    </xdr:from>
    <xdr:to>
      <xdr:col>10</xdr:col>
      <xdr:colOff>0</xdr:colOff>
      <xdr:row>30</xdr:row>
      <xdr:rowOff>0</xdr:rowOff>
    </xdr:to>
    <xdr:sp macro="" textlink="">
      <xdr:nvSpPr>
        <xdr:cNvPr id="16349" name="Line 10"/>
        <xdr:cNvSpPr>
          <a:spLocks noChangeShapeType="1"/>
        </xdr:cNvSpPr>
      </xdr:nvSpPr>
      <xdr:spPr bwMode="auto">
        <a:xfrm>
          <a:off x="4267200" y="6362700"/>
          <a:ext cx="20955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9525</xdr:colOff>
      <xdr:row>30</xdr:row>
      <xdr:rowOff>0</xdr:rowOff>
    </xdr:from>
    <xdr:to>
      <xdr:col>11</xdr:col>
      <xdr:colOff>0</xdr:colOff>
      <xdr:row>30</xdr:row>
      <xdr:rowOff>0</xdr:rowOff>
    </xdr:to>
    <xdr:sp macro="" textlink="">
      <xdr:nvSpPr>
        <xdr:cNvPr id="16350" name="Line 12"/>
        <xdr:cNvSpPr>
          <a:spLocks noChangeShapeType="1"/>
        </xdr:cNvSpPr>
      </xdr:nvSpPr>
      <xdr:spPr bwMode="auto">
        <a:xfrm>
          <a:off x="4486275" y="6362700"/>
          <a:ext cx="15240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133350</xdr:colOff>
      <xdr:row>30</xdr:row>
      <xdr:rowOff>0</xdr:rowOff>
    </xdr:from>
    <xdr:to>
      <xdr:col>44</xdr:col>
      <xdr:colOff>133350</xdr:colOff>
      <xdr:row>30</xdr:row>
      <xdr:rowOff>0</xdr:rowOff>
    </xdr:to>
    <xdr:sp macro="" textlink="">
      <xdr:nvSpPr>
        <xdr:cNvPr id="16351" name="Line 13"/>
        <xdr:cNvSpPr>
          <a:spLocks noChangeShapeType="1"/>
        </xdr:cNvSpPr>
      </xdr:nvSpPr>
      <xdr:spPr bwMode="auto">
        <a:xfrm>
          <a:off x="4610100" y="6362700"/>
          <a:ext cx="550545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9525</xdr:colOff>
      <xdr:row>73</xdr:row>
      <xdr:rowOff>0</xdr:rowOff>
    </xdr:from>
    <xdr:to>
      <xdr:col>45</xdr:col>
      <xdr:colOff>0</xdr:colOff>
      <xdr:row>73</xdr:row>
      <xdr:rowOff>0</xdr:rowOff>
    </xdr:to>
    <xdr:sp macro="" textlink="">
      <xdr:nvSpPr>
        <xdr:cNvPr id="16352" name="Line 20"/>
        <xdr:cNvSpPr>
          <a:spLocks noChangeShapeType="1"/>
        </xdr:cNvSpPr>
      </xdr:nvSpPr>
      <xdr:spPr bwMode="auto">
        <a:xfrm>
          <a:off x="8210550" y="16154400"/>
          <a:ext cx="1933575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0</xdr:colOff>
      <xdr:row>73</xdr:row>
      <xdr:rowOff>0</xdr:rowOff>
    </xdr:from>
    <xdr:to>
      <xdr:col>33</xdr:col>
      <xdr:colOff>0</xdr:colOff>
      <xdr:row>73</xdr:row>
      <xdr:rowOff>0</xdr:rowOff>
    </xdr:to>
    <xdr:sp macro="" textlink="">
      <xdr:nvSpPr>
        <xdr:cNvPr id="16353" name="Line 21"/>
        <xdr:cNvSpPr>
          <a:spLocks noChangeShapeType="1"/>
        </xdr:cNvSpPr>
      </xdr:nvSpPr>
      <xdr:spPr bwMode="auto">
        <a:xfrm flipV="1">
          <a:off x="8201025" y="16154400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F20884" mc:Ignorable="a14" a14:legacySpreadsheetColorIndex="1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28575</xdr:colOff>
      <xdr:row>1</xdr:row>
      <xdr:rowOff>50800</xdr:rowOff>
    </xdr:from>
    <xdr:to>
      <xdr:col>37</xdr:col>
      <xdr:colOff>158782</xdr:colOff>
      <xdr:row>2</xdr:row>
      <xdr:rowOff>330200</xdr:rowOff>
    </xdr:to>
    <xdr:sp macro="" textlink="">
      <xdr:nvSpPr>
        <xdr:cNvPr id="6166" name="Text 70"/>
        <xdr:cNvSpPr txBox="1">
          <a:spLocks noChangeArrowheads="1"/>
        </xdr:cNvSpPr>
      </xdr:nvSpPr>
      <xdr:spPr bwMode="auto">
        <a:xfrm>
          <a:off x="9372600" y="368300"/>
          <a:ext cx="1092200" cy="355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Milestone 3: </a:t>
          </a:r>
        </a:p>
        <a:p>
          <a:pPr algn="ctr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Arial"/>
            <a:ea typeface="Arial"/>
            <a:cs typeface="Arial"/>
          </a:endParaRPr>
        </a:p>
      </xdr:txBody>
    </xdr:sp>
    <xdr:clientData/>
  </xdr:twoCellAnchor>
  <xdr:twoCellAnchor>
    <xdr:from>
      <xdr:col>45</xdr:col>
      <xdr:colOff>161925</xdr:colOff>
      <xdr:row>3</xdr:row>
      <xdr:rowOff>9525</xdr:rowOff>
    </xdr:from>
    <xdr:to>
      <xdr:col>45</xdr:col>
      <xdr:colOff>161925</xdr:colOff>
      <xdr:row>3</xdr:row>
      <xdr:rowOff>133350</xdr:rowOff>
    </xdr:to>
    <xdr:sp macro="" textlink="">
      <xdr:nvSpPr>
        <xdr:cNvPr id="16355" name="Line 23"/>
        <xdr:cNvSpPr>
          <a:spLocks noChangeShapeType="1"/>
        </xdr:cNvSpPr>
      </xdr:nvSpPr>
      <xdr:spPr bwMode="auto">
        <a:xfrm>
          <a:off x="10306050" y="7524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40</xdr:col>
      <xdr:colOff>0</xdr:colOff>
      <xdr:row>1</xdr:row>
      <xdr:rowOff>25400</xdr:rowOff>
    </xdr:from>
    <xdr:to>
      <xdr:col>46</xdr:col>
      <xdr:colOff>12700</xdr:colOff>
      <xdr:row>2</xdr:row>
      <xdr:rowOff>317500</xdr:rowOff>
    </xdr:to>
    <xdr:sp macro="" textlink="">
      <xdr:nvSpPr>
        <xdr:cNvPr id="6168" name="Text 73"/>
        <xdr:cNvSpPr txBox="1">
          <a:spLocks noChangeArrowheads="1"/>
        </xdr:cNvSpPr>
      </xdr:nvSpPr>
      <xdr:spPr bwMode="auto">
        <a:xfrm>
          <a:off x="10858500" y="342900"/>
          <a:ext cx="1155700" cy="368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Milestone 4: </a:t>
          </a:r>
        </a:p>
        <a:p>
          <a:pPr algn="ctr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Arial"/>
            <a:ea typeface="Arial"/>
            <a:cs typeface="Arial"/>
          </a:endParaRPr>
        </a:p>
      </xdr:txBody>
    </xdr:sp>
    <xdr:clientData/>
  </xdr:twoCellAnchor>
  <xdr:twoCellAnchor>
    <xdr:from>
      <xdr:col>46</xdr:col>
      <xdr:colOff>0</xdr:colOff>
      <xdr:row>1</xdr:row>
      <xdr:rowOff>88900</xdr:rowOff>
    </xdr:from>
    <xdr:to>
      <xdr:col>46</xdr:col>
      <xdr:colOff>0</xdr:colOff>
      <xdr:row>3</xdr:row>
      <xdr:rowOff>0</xdr:rowOff>
    </xdr:to>
    <xdr:sp macro="" textlink="">
      <xdr:nvSpPr>
        <xdr:cNvPr id="6169" name="Text 74"/>
        <xdr:cNvSpPr txBox="1">
          <a:spLocks noChangeArrowheads="1"/>
        </xdr:cNvSpPr>
      </xdr:nvSpPr>
      <xdr:spPr bwMode="auto">
        <a:xfrm>
          <a:off x="12001500" y="393700"/>
          <a:ext cx="0" cy="342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Final </a:t>
          </a:r>
        </a:p>
        <a:p>
          <a:pPr algn="ctr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48 m rep</a:t>
          </a:r>
        </a:p>
      </xdr:txBody>
    </xdr:sp>
    <xdr:clientData/>
  </xdr:twoCellAnchor>
  <xdr:twoCellAnchor>
    <xdr:from>
      <xdr:col>46</xdr:col>
      <xdr:colOff>0</xdr:colOff>
      <xdr:row>2</xdr:row>
      <xdr:rowOff>0</xdr:rowOff>
    </xdr:from>
    <xdr:to>
      <xdr:col>46</xdr:col>
      <xdr:colOff>0</xdr:colOff>
      <xdr:row>2</xdr:row>
      <xdr:rowOff>139700</xdr:rowOff>
    </xdr:to>
    <xdr:sp macro="" textlink="">
      <xdr:nvSpPr>
        <xdr:cNvPr id="6170" name="Text 75"/>
        <xdr:cNvSpPr txBox="1">
          <a:spLocks noChangeArrowheads="1"/>
        </xdr:cNvSpPr>
      </xdr:nvSpPr>
      <xdr:spPr bwMode="auto">
        <a:xfrm>
          <a:off x="12001500" y="393700"/>
          <a:ext cx="0" cy="139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42 m rep</a:t>
          </a:r>
        </a:p>
      </xdr:txBody>
    </xdr:sp>
    <xdr:clientData/>
  </xdr:twoCellAnchor>
  <xdr:twoCellAnchor>
    <xdr:from>
      <xdr:col>45</xdr:col>
      <xdr:colOff>0</xdr:colOff>
      <xdr:row>68</xdr:row>
      <xdr:rowOff>0</xdr:rowOff>
    </xdr:from>
    <xdr:to>
      <xdr:col>45</xdr:col>
      <xdr:colOff>0</xdr:colOff>
      <xdr:row>68</xdr:row>
      <xdr:rowOff>0</xdr:rowOff>
    </xdr:to>
    <xdr:sp macro="" textlink="">
      <xdr:nvSpPr>
        <xdr:cNvPr id="16359" name="Line 27"/>
        <xdr:cNvSpPr>
          <a:spLocks noChangeShapeType="1"/>
        </xdr:cNvSpPr>
      </xdr:nvSpPr>
      <xdr:spPr bwMode="auto">
        <a:xfrm>
          <a:off x="10144125" y="15240000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73</xdr:row>
      <xdr:rowOff>0</xdr:rowOff>
    </xdr:from>
    <xdr:to>
      <xdr:col>45</xdr:col>
      <xdr:colOff>0</xdr:colOff>
      <xdr:row>73</xdr:row>
      <xdr:rowOff>0</xdr:rowOff>
    </xdr:to>
    <xdr:sp macro="" textlink="">
      <xdr:nvSpPr>
        <xdr:cNvPr id="16360" name="Line 28"/>
        <xdr:cNvSpPr>
          <a:spLocks noChangeShapeType="1"/>
        </xdr:cNvSpPr>
      </xdr:nvSpPr>
      <xdr:spPr bwMode="auto">
        <a:xfrm>
          <a:off x="10144125" y="16154400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73</xdr:row>
      <xdr:rowOff>0</xdr:rowOff>
    </xdr:from>
    <xdr:to>
      <xdr:col>45</xdr:col>
      <xdr:colOff>0</xdr:colOff>
      <xdr:row>73</xdr:row>
      <xdr:rowOff>0</xdr:rowOff>
    </xdr:to>
    <xdr:sp macro="" textlink="">
      <xdr:nvSpPr>
        <xdr:cNvPr id="16361" name="Line 29"/>
        <xdr:cNvSpPr>
          <a:spLocks noChangeShapeType="1"/>
        </xdr:cNvSpPr>
      </xdr:nvSpPr>
      <xdr:spPr bwMode="auto">
        <a:xfrm>
          <a:off x="10144125" y="16154400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133350</xdr:colOff>
      <xdr:row>73</xdr:row>
      <xdr:rowOff>0</xdr:rowOff>
    </xdr:from>
    <xdr:to>
      <xdr:col>44</xdr:col>
      <xdr:colOff>142875</xdr:colOff>
      <xdr:row>73</xdr:row>
      <xdr:rowOff>0</xdr:rowOff>
    </xdr:to>
    <xdr:sp macro="" textlink="">
      <xdr:nvSpPr>
        <xdr:cNvPr id="16362" name="Line 30"/>
        <xdr:cNvSpPr>
          <a:spLocks noChangeShapeType="1"/>
        </xdr:cNvSpPr>
      </xdr:nvSpPr>
      <xdr:spPr bwMode="auto">
        <a:xfrm>
          <a:off x="8172450" y="16154400"/>
          <a:ext cx="1952625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114300</xdr:colOff>
      <xdr:row>73</xdr:row>
      <xdr:rowOff>0</xdr:rowOff>
    </xdr:from>
    <xdr:to>
      <xdr:col>43</xdr:col>
      <xdr:colOff>114300</xdr:colOff>
      <xdr:row>73</xdr:row>
      <xdr:rowOff>0</xdr:rowOff>
    </xdr:to>
    <xdr:sp macro="" textlink="">
      <xdr:nvSpPr>
        <xdr:cNvPr id="16363" name="Line 31"/>
        <xdr:cNvSpPr>
          <a:spLocks noChangeShapeType="1"/>
        </xdr:cNvSpPr>
      </xdr:nvSpPr>
      <xdr:spPr bwMode="auto">
        <a:xfrm flipV="1">
          <a:off x="9934575" y="16154400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F20884" mc:Ignorable="a14" a14:legacySpreadsheetColorIndex="1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73</xdr:row>
      <xdr:rowOff>0</xdr:rowOff>
    </xdr:from>
    <xdr:to>
      <xdr:col>45</xdr:col>
      <xdr:colOff>0</xdr:colOff>
      <xdr:row>73</xdr:row>
      <xdr:rowOff>0</xdr:rowOff>
    </xdr:to>
    <xdr:sp macro="" textlink="">
      <xdr:nvSpPr>
        <xdr:cNvPr id="16364" name="Line 32"/>
        <xdr:cNvSpPr>
          <a:spLocks noChangeShapeType="1"/>
        </xdr:cNvSpPr>
      </xdr:nvSpPr>
      <xdr:spPr bwMode="auto">
        <a:xfrm>
          <a:off x="10144125" y="16154400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73</xdr:row>
      <xdr:rowOff>0</xdr:rowOff>
    </xdr:from>
    <xdr:to>
      <xdr:col>45</xdr:col>
      <xdr:colOff>0</xdr:colOff>
      <xdr:row>73</xdr:row>
      <xdr:rowOff>0</xdr:rowOff>
    </xdr:to>
    <xdr:sp macro="" textlink="">
      <xdr:nvSpPr>
        <xdr:cNvPr id="16365" name="Line 33"/>
        <xdr:cNvSpPr>
          <a:spLocks noChangeShapeType="1"/>
        </xdr:cNvSpPr>
      </xdr:nvSpPr>
      <xdr:spPr bwMode="auto">
        <a:xfrm>
          <a:off x="10144125" y="16154400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73</xdr:row>
      <xdr:rowOff>0</xdr:rowOff>
    </xdr:from>
    <xdr:to>
      <xdr:col>33</xdr:col>
      <xdr:colOff>0</xdr:colOff>
      <xdr:row>73</xdr:row>
      <xdr:rowOff>0</xdr:rowOff>
    </xdr:to>
    <xdr:sp macro="" textlink="">
      <xdr:nvSpPr>
        <xdr:cNvPr id="16366" name="Drawing 134"/>
        <xdr:cNvSpPr>
          <a:spLocks/>
        </xdr:cNvSpPr>
      </xdr:nvSpPr>
      <xdr:spPr bwMode="auto">
        <a:xfrm>
          <a:off x="7715250" y="16154400"/>
          <a:ext cx="485775" cy="0"/>
        </a:xfrm>
        <a:custGeom>
          <a:avLst/>
          <a:gdLst>
            <a:gd name="T0" fmla="*/ 695358603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695358603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16384" h="16384">
              <a:moveTo>
                <a:pt x="16384" y="16384"/>
              </a:moveTo>
              <a:lnTo>
                <a:pt x="0" y="16384"/>
              </a:lnTo>
              <a:lnTo>
                <a:pt x="0" y="0"/>
              </a:lnTo>
              <a:lnTo>
                <a:pt x="16384" y="0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36</xdr:col>
      <xdr:colOff>9525</xdr:colOff>
      <xdr:row>62</xdr:row>
      <xdr:rowOff>0</xdr:rowOff>
    </xdr:from>
    <xdr:to>
      <xdr:col>38</xdr:col>
      <xdr:colOff>9525</xdr:colOff>
      <xdr:row>73</xdr:row>
      <xdr:rowOff>0</xdr:rowOff>
    </xdr:to>
    <xdr:sp macro="" textlink="">
      <xdr:nvSpPr>
        <xdr:cNvPr id="16367" name="Drawing 136"/>
        <xdr:cNvSpPr>
          <a:spLocks/>
        </xdr:cNvSpPr>
      </xdr:nvSpPr>
      <xdr:spPr bwMode="auto">
        <a:xfrm>
          <a:off x="8696325" y="14163675"/>
          <a:ext cx="323850" cy="1990725"/>
        </a:xfrm>
        <a:custGeom>
          <a:avLst/>
          <a:gdLst>
            <a:gd name="T0" fmla="*/ 103016084 w 16384"/>
            <a:gd name="T1" fmla="*/ 2147483647 h 16384"/>
            <a:gd name="T2" fmla="*/ 103016084 w 16384"/>
            <a:gd name="T3" fmla="*/ 2147483647 h 16384"/>
            <a:gd name="T4" fmla="*/ 206032168 w 16384"/>
            <a:gd name="T5" fmla="*/ 2147483647 h 16384"/>
            <a:gd name="T6" fmla="*/ 206032168 w 16384"/>
            <a:gd name="T7" fmla="*/ 2147483647 h 16384"/>
            <a:gd name="T8" fmla="*/ 103016084 w 16384"/>
            <a:gd name="T9" fmla="*/ 2147483647 h 16384"/>
            <a:gd name="T10" fmla="*/ 103016084 w 16384"/>
            <a:gd name="T11" fmla="*/ 2147483647 h 16384"/>
            <a:gd name="T12" fmla="*/ 0 w 16384"/>
            <a:gd name="T13" fmla="*/ 2147483647 h 16384"/>
            <a:gd name="T14" fmla="*/ 0 w 16384"/>
            <a:gd name="T15" fmla="*/ 2147483647 h 16384"/>
            <a:gd name="T16" fmla="*/ 103016084 w 16384"/>
            <a:gd name="T17" fmla="*/ 2147483647 h 16384"/>
            <a:gd name="T18" fmla="*/ 103016084 w 16384"/>
            <a:gd name="T19" fmla="*/ 0 h 16384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  <a:gd name="T27" fmla="*/ 0 60000 65536"/>
            <a:gd name="T28" fmla="*/ 0 60000 65536"/>
            <a:gd name="T29" fmla="*/ 0 60000 65536"/>
          </a:gdLst>
          <a:ahLst/>
          <a:cxnLst>
            <a:cxn ang="T20">
              <a:pos x="T0" y="T1"/>
            </a:cxn>
            <a:cxn ang="T21">
              <a:pos x="T2" y="T3"/>
            </a:cxn>
            <a:cxn ang="T22">
              <a:pos x="T4" y="T5"/>
            </a:cxn>
            <a:cxn ang="T23">
              <a:pos x="T6" y="T7"/>
            </a:cxn>
            <a:cxn ang="T24">
              <a:pos x="T8" y="T9"/>
            </a:cxn>
            <a:cxn ang="T25">
              <a:pos x="T10" y="T11"/>
            </a:cxn>
            <a:cxn ang="T26">
              <a:pos x="T12" y="T13"/>
            </a:cxn>
            <a:cxn ang="T27">
              <a:pos x="T14" y="T15"/>
            </a:cxn>
            <a:cxn ang="T28">
              <a:pos x="T16" y="T17"/>
            </a:cxn>
            <a:cxn ang="T29">
              <a:pos x="T18" y="T19"/>
            </a:cxn>
          </a:cxnLst>
          <a:rect l="0" t="0" r="r" b="b"/>
          <a:pathLst>
            <a:path w="16384" h="16384">
              <a:moveTo>
                <a:pt x="8192" y="16384"/>
              </a:moveTo>
              <a:lnTo>
                <a:pt x="8192" y="13423"/>
              </a:lnTo>
              <a:lnTo>
                <a:pt x="16384" y="13423"/>
              </a:lnTo>
              <a:lnTo>
                <a:pt x="16384" y="11943"/>
              </a:lnTo>
              <a:lnTo>
                <a:pt x="8192" y="11943"/>
              </a:lnTo>
              <a:lnTo>
                <a:pt x="8192" y="5922"/>
              </a:lnTo>
              <a:lnTo>
                <a:pt x="0" y="5922"/>
              </a:lnTo>
              <a:lnTo>
                <a:pt x="0" y="4441"/>
              </a:lnTo>
              <a:lnTo>
                <a:pt x="8192" y="4441"/>
              </a:lnTo>
              <a:lnTo>
                <a:pt x="8192" y="0"/>
              </a:lnTo>
            </a:path>
          </a:pathLst>
        </a:cu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24765" cap="flat" cmpd="sng">
              <a:solidFill>
                <a:srgbClr xmlns:mc="http://schemas.openxmlformats.org/markup-compatibility/2006" val="F20884" mc:Ignorable="a14" a14:legacySpreadsheetColorIndex="14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</xdr:sp>
    <xdr:clientData/>
  </xdr:twoCellAnchor>
  <xdr:twoCellAnchor>
    <xdr:from>
      <xdr:col>33</xdr:col>
      <xdr:colOff>0</xdr:colOff>
      <xdr:row>52</xdr:row>
      <xdr:rowOff>0</xdr:rowOff>
    </xdr:from>
    <xdr:to>
      <xdr:col>34</xdr:col>
      <xdr:colOff>0</xdr:colOff>
      <xdr:row>63</xdr:row>
      <xdr:rowOff>0</xdr:rowOff>
    </xdr:to>
    <xdr:sp macro="" textlink="">
      <xdr:nvSpPr>
        <xdr:cNvPr id="16368" name="Drawing 137"/>
        <xdr:cNvSpPr>
          <a:spLocks/>
        </xdr:cNvSpPr>
      </xdr:nvSpPr>
      <xdr:spPr bwMode="auto">
        <a:xfrm>
          <a:off x="8201025" y="11334750"/>
          <a:ext cx="161925" cy="3143250"/>
        </a:xfrm>
        <a:custGeom>
          <a:avLst/>
          <a:gdLst>
            <a:gd name="T0" fmla="*/ 0 w 16384"/>
            <a:gd name="T1" fmla="*/ 2147483647 h 16384"/>
            <a:gd name="T2" fmla="*/ 0 w 16384"/>
            <a:gd name="T3" fmla="*/ 2147483647 h 16384"/>
            <a:gd name="T4" fmla="*/ 25754021 w 16384"/>
            <a:gd name="T5" fmla="*/ 2147483647 h 16384"/>
            <a:gd name="T6" fmla="*/ 25754021 w 16384"/>
            <a:gd name="T7" fmla="*/ 0 h 16384"/>
            <a:gd name="T8" fmla="*/ 0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16384" h="16384">
              <a:moveTo>
                <a:pt x="0" y="16384"/>
              </a:moveTo>
              <a:lnTo>
                <a:pt x="0" y="2427"/>
              </a:lnTo>
              <a:lnTo>
                <a:pt x="16384" y="2427"/>
              </a:lnTo>
              <a:lnTo>
                <a:pt x="16384" y="0"/>
              </a:lnTo>
              <a:lnTo>
                <a:pt x="0" y="0"/>
              </a:lnTo>
            </a:path>
          </a:pathLst>
        </a:cu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24765" cap="flat" cmpd="sng">
              <a:solidFill>
                <a:srgbClr xmlns:mc="http://schemas.openxmlformats.org/markup-compatibility/2006" val="F20884" mc:Ignorable="a14" a14:legacySpreadsheetColorIndex="14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</xdr:sp>
    <xdr:clientData/>
  </xdr:twoCellAnchor>
  <xdr:twoCellAnchor>
    <xdr:from>
      <xdr:col>30</xdr:col>
      <xdr:colOff>133350</xdr:colOff>
      <xdr:row>32</xdr:row>
      <xdr:rowOff>0</xdr:rowOff>
    </xdr:from>
    <xdr:to>
      <xdr:col>33</xdr:col>
      <xdr:colOff>133350</xdr:colOff>
      <xdr:row>46</xdr:row>
      <xdr:rowOff>104775</xdr:rowOff>
    </xdr:to>
    <xdr:sp macro="" textlink="">
      <xdr:nvSpPr>
        <xdr:cNvPr id="16369" name="Drawing 138"/>
        <xdr:cNvSpPr>
          <a:spLocks/>
        </xdr:cNvSpPr>
      </xdr:nvSpPr>
      <xdr:spPr bwMode="auto">
        <a:xfrm>
          <a:off x="7848600" y="6667500"/>
          <a:ext cx="485775" cy="3171825"/>
        </a:xfrm>
        <a:custGeom>
          <a:avLst/>
          <a:gdLst>
            <a:gd name="T0" fmla="*/ 695358603 w 16384"/>
            <a:gd name="T1" fmla="*/ 2147483647 h 16384"/>
            <a:gd name="T2" fmla="*/ 695358603 w 16384"/>
            <a:gd name="T3" fmla="*/ 2147483647 h 16384"/>
            <a:gd name="T4" fmla="*/ 0 w 16384"/>
            <a:gd name="T5" fmla="*/ 2147483647 h 16384"/>
            <a:gd name="T6" fmla="*/ 0 w 16384"/>
            <a:gd name="T7" fmla="*/ 2147483647 h 16384"/>
            <a:gd name="T8" fmla="*/ 695358603 w 16384"/>
            <a:gd name="T9" fmla="*/ 2147483647 h 16384"/>
            <a:gd name="T10" fmla="*/ 695358603 w 16384"/>
            <a:gd name="T11" fmla="*/ 0 h 16384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0" t="0" r="r" b="b"/>
          <a:pathLst>
            <a:path w="16384" h="16384">
              <a:moveTo>
                <a:pt x="16384" y="16384"/>
              </a:moveTo>
              <a:lnTo>
                <a:pt x="16384" y="11969"/>
              </a:lnTo>
              <a:lnTo>
                <a:pt x="0" y="11969"/>
              </a:lnTo>
              <a:lnTo>
                <a:pt x="0" y="5985"/>
              </a:lnTo>
              <a:lnTo>
                <a:pt x="16384" y="5985"/>
              </a:lnTo>
              <a:lnTo>
                <a:pt x="16384" y="0"/>
              </a:lnTo>
            </a:path>
          </a:pathLst>
        </a:cu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24765" cap="flat" cmpd="sng">
              <a:solidFill>
                <a:srgbClr xmlns:mc="http://schemas.openxmlformats.org/markup-compatibility/2006" val="F20884" mc:Ignorable="a14" a14:legacySpreadsheetColorIndex="14"/>
              </a:solidFill>
              <a:prstDash val="solid"/>
              <a:round/>
              <a:headEnd type="none" w="med" len="med"/>
              <a:tailEnd type="none" w="med" len="med"/>
            </a14:hiddenLine>
          </a:ext>
        </a:extLst>
      </xdr:spPr>
    </xdr:sp>
    <xdr:clientData/>
  </xdr:twoCellAnchor>
  <xdr:twoCellAnchor>
    <xdr:from>
      <xdr:col>32</xdr:col>
      <xdr:colOff>152400</xdr:colOff>
      <xdr:row>7</xdr:row>
      <xdr:rowOff>28575</xdr:rowOff>
    </xdr:from>
    <xdr:to>
      <xdr:col>32</xdr:col>
      <xdr:colOff>152400</xdr:colOff>
      <xdr:row>32</xdr:row>
      <xdr:rowOff>9525</xdr:rowOff>
    </xdr:to>
    <xdr:sp macro="" textlink="">
      <xdr:nvSpPr>
        <xdr:cNvPr id="16370" name="Drawing 139"/>
        <xdr:cNvSpPr>
          <a:spLocks/>
        </xdr:cNvSpPr>
      </xdr:nvSpPr>
      <xdr:spPr bwMode="auto">
        <a:xfrm>
          <a:off x="8191500" y="1733550"/>
          <a:ext cx="0" cy="4943475"/>
        </a:xfrm>
        <a:custGeom>
          <a:avLst/>
          <a:gdLst>
            <a:gd name="T0" fmla="*/ 0 w 16384"/>
            <a:gd name="T1" fmla="*/ 0 h 16384"/>
            <a:gd name="T2" fmla="*/ 0 w 16384"/>
            <a:gd name="T3" fmla="*/ 2147483647 h 16384"/>
            <a:gd name="T4" fmla="*/ 0 60000 65536"/>
            <a:gd name="T5" fmla="*/ 0 60000 65536"/>
          </a:gdLst>
          <a:ahLst/>
          <a:cxnLst>
            <a:cxn ang="T4">
              <a:pos x="T0" y="T1"/>
            </a:cxn>
            <a:cxn ang="T5">
              <a:pos x="T2" y="T3"/>
            </a:cxn>
          </a:cxnLst>
          <a:rect l="0" t="0" r="r" b="b"/>
          <a:pathLst>
            <a:path w="16384" h="16384">
              <a:moveTo>
                <a:pt x="0" y="0"/>
              </a:moveTo>
              <a:lnTo>
                <a:pt x="16384" y="16384"/>
              </a:lnTo>
            </a:path>
          </a:pathLst>
        </a:custGeom>
        <a:noFill/>
        <a:ln w="24765" cap="flat">
          <a:solidFill>
            <a:srgbClr xmlns:mc="http://schemas.openxmlformats.org/markup-compatibility/2006" xmlns:a14="http://schemas.microsoft.com/office/drawing/2010/main" val="F20884" mc:Ignorable="a14" a14:legacySpreadsheetColorIndex="1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13</xdr:col>
      <xdr:colOff>9525</xdr:colOff>
      <xdr:row>42</xdr:row>
      <xdr:rowOff>0</xdr:rowOff>
    </xdr:from>
    <xdr:to>
      <xdr:col>27</xdr:col>
      <xdr:colOff>0</xdr:colOff>
      <xdr:row>42</xdr:row>
      <xdr:rowOff>0</xdr:rowOff>
    </xdr:to>
    <xdr:sp macro="" textlink="">
      <xdr:nvSpPr>
        <xdr:cNvPr id="16371" name="Line 40"/>
        <xdr:cNvSpPr>
          <a:spLocks noChangeShapeType="1"/>
        </xdr:cNvSpPr>
      </xdr:nvSpPr>
      <xdr:spPr bwMode="auto">
        <a:xfrm>
          <a:off x="4972050" y="8658225"/>
          <a:ext cx="2257425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42</xdr:row>
      <xdr:rowOff>0</xdr:rowOff>
    </xdr:from>
    <xdr:to>
      <xdr:col>27</xdr:col>
      <xdr:colOff>9525</xdr:colOff>
      <xdr:row>42</xdr:row>
      <xdr:rowOff>0</xdr:rowOff>
    </xdr:to>
    <xdr:sp macro="" textlink="">
      <xdr:nvSpPr>
        <xdr:cNvPr id="16372" name="Line 41"/>
        <xdr:cNvSpPr>
          <a:spLocks noChangeShapeType="1"/>
        </xdr:cNvSpPr>
      </xdr:nvSpPr>
      <xdr:spPr bwMode="auto">
        <a:xfrm>
          <a:off x="4962525" y="8658225"/>
          <a:ext cx="2276475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73</xdr:row>
      <xdr:rowOff>0</xdr:rowOff>
    </xdr:from>
    <xdr:to>
      <xdr:col>45</xdr:col>
      <xdr:colOff>0</xdr:colOff>
      <xdr:row>73</xdr:row>
      <xdr:rowOff>0</xdr:rowOff>
    </xdr:to>
    <xdr:sp macro="" textlink="">
      <xdr:nvSpPr>
        <xdr:cNvPr id="16373" name="Line 52"/>
        <xdr:cNvSpPr>
          <a:spLocks noChangeShapeType="1"/>
        </xdr:cNvSpPr>
      </xdr:nvSpPr>
      <xdr:spPr bwMode="auto">
        <a:xfrm>
          <a:off x="10144125" y="16154400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73</xdr:row>
      <xdr:rowOff>0</xdr:rowOff>
    </xdr:from>
    <xdr:to>
      <xdr:col>45</xdr:col>
      <xdr:colOff>0</xdr:colOff>
      <xdr:row>73</xdr:row>
      <xdr:rowOff>0</xdr:rowOff>
    </xdr:to>
    <xdr:sp macro="" textlink="">
      <xdr:nvSpPr>
        <xdr:cNvPr id="16374" name="Line 53"/>
        <xdr:cNvSpPr>
          <a:spLocks noChangeShapeType="1"/>
        </xdr:cNvSpPr>
      </xdr:nvSpPr>
      <xdr:spPr bwMode="auto">
        <a:xfrm>
          <a:off x="10144125" y="16154400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69</xdr:row>
      <xdr:rowOff>76200</xdr:rowOff>
    </xdr:from>
    <xdr:to>
      <xdr:col>45</xdr:col>
      <xdr:colOff>0</xdr:colOff>
      <xdr:row>69</xdr:row>
      <xdr:rowOff>76200</xdr:rowOff>
    </xdr:to>
    <xdr:sp macro="" textlink="">
      <xdr:nvSpPr>
        <xdr:cNvPr id="16375" name="Line 54"/>
        <xdr:cNvSpPr>
          <a:spLocks noChangeShapeType="1"/>
        </xdr:cNvSpPr>
      </xdr:nvSpPr>
      <xdr:spPr bwMode="auto">
        <a:xfrm>
          <a:off x="10144125" y="15621000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73</xdr:row>
      <xdr:rowOff>0</xdr:rowOff>
    </xdr:from>
    <xdr:to>
      <xdr:col>45</xdr:col>
      <xdr:colOff>0</xdr:colOff>
      <xdr:row>73</xdr:row>
      <xdr:rowOff>0</xdr:rowOff>
    </xdr:to>
    <xdr:sp macro="" textlink="">
      <xdr:nvSpPr>
        <xdr:cNvPr id="16376" name="Line 55"/>
        <xdr:cNvSpPr>
          <a:spLocks noChangeShapeType="1"/>
        </xdr:cNvSpPr>
      </xdr:nvSpPr>
      <xdr:spPr bwMode="auto">
        <a:xfrm>
          <a:off x="10144125" y="16154400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209550</xdr:colOff>
      <xdr:row>110</xdr:row>
      <xdr:rowOff>47625</xdr:rowOff>
    </xdr:from>
    <xdr:to>
      <xdr:col>56</xdr:col>
      <xdr:colOff>514350</xdr:colOff>
      <xdr:row>110</xdr:row>
      <xdr:rowOff>47625</xdr:rowOff>
    </xdr:to>
    <xdr:sp macro="" textlink="">
      <xdr:nvSpPr>
        <xdr:cNvPr id="16377" name="Line 57"/>
        <xdr:cNvSpPr>
          <a:spLocks noChangeShapeType="1"/>
        </xdr:cNvSpPr>
      </xdr:nvSpPr>
      <xdr:spPr bwMode="auto">
        <a:xfrm>
          <a:off x="14173200" y="21488400"/>
          <a:ext cx="274320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61</xdr:col>
      <xdr:colOff>209550</xdr:colOff>
      <xdr:row>114</xdr:row>
      <xdr:rowOff>47625</xdr:rowOff>
    </xdr:from>
    <xdr:to>
      <xdr:col>63</xdr:col>
      <xdr:colOff>9525</xdr:colOff>
      <xdr:row>114</xdr:row>
      <xdr:rowOff>47625</xdr:rowOff>
    </xdr:to>
    <xdr:sp macro="" textlink="">
      <xdr:nvSpPr>
        <xdr:cNvPr id="16378" name="Line 58"/>
        <xdr:cNvSpPr>
          <a:spLocks noChangeShapeType="1"/>
        </xdr:cNvSpPr>
      </xdr:nvSpPr>
      <xdr:spPr bwMode="auto">
        <a:xfrm>
          <a:off x="19659600" y="22059900"/>
          <a:ext cx="1019175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73</xdr:row>
      <xdr:rowOff>0</xdr:rowOff>
    </xdr:from>
    <xdr:to>
      <xdr:col>33</xdr:col>
      <xdr:colOff>0</xdr:colOff>
      <xdr:row>73</xdr:row>
      <xdr:rowOff>0</xdr:rowOff>
    </xdr:to>
    <xdr:sp macro="" textlink="">
      <xdr:nvSpPr>
        <xdr:cNvPr id="16379" name="Line 59"/>
        <xdr:cNvSpPr>
          <a:spLocks noChangeShapeType="1"/>
        </xdr:cNvSpPr>
      </xdr:nvSpPr>
      <xdr:spPr bwMode="auto">
        <a:xfrm flipV="1">
          <a:off x="4962525" y="16154400"/>
          <a:ext cx="323850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19050</xdr:colOff>
      <xdr:row>73</xdr:row>
      <xdr:rowOff>0</xdr:rowOff>
    </xdr:from>
    <xdr:to>
      <xdr:col>33</xdr:col>
      <xdr:colOff>19050</xdr:colOff>
      <xdr:row>73</xdr:row>
      <xdr:rowOff>0</xdr:rowOff>
    </xdr:to>
    <xdr:sp macro="" textlink="">
      <xdr:nvSpPr>
        <xdr:cNvPr id="16380" name="Line 60"/>
        <xdr:cNvSpPr>
          <a:spLocks noChangeShapeType="1"/>
        </xdr:cNvSpPr>
      </xdr:nvSpPr>
      <xdr:spPr bwMode="auto">
        <a:xfrm flipV="1">
          <a:off x="7248525" y="16154400"/>
          <a:ext cx="97155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19050</xdr:colOff>
      <xdr:row>73</xdr:row>
      <xdr:rowOff>0</xdr:rowOff>
    </xdr:from>
    <xdr:to>
      <xdr:col>33</xdr:col>
      <xdr:colOff>19050</xdr:colOff>
      <xdr:row>73</xdr:row>
      <xdr:rowOff>0</xdr:rowOff>
    </xdr:to>
    <xdr:sp macro="" textlink="">
      <xdr:nvSpPr>
        <xdr:cNvPr id="16381" name="Line 61"/>
        <xdr:cNvSpPr>
          <a:spLocks noChangeShapeType="1"/>
        </xdr:cNvSpPr>
      </xdr:nvSpPr>
      <xdr:spPr bwMode="auto">
        <a:xfrm flipV="1">
          <a:off x="7248525" y="16154400"/>
          <a:ext cx="97155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152400</xdr:colOff>
      <xdr:row>73</xdr:row>
      <xdr:rowOff>0</xdr:rowOff>
    </xdr:from>
    <xdr:to>
      <xdr:col>32</xdr:col>
      <xdr:colOff>152400</xdr:colOff>
      <xdr:row>73</xdr:row>
      <xdr:rowOff>0</xdr:rowOff>
    </xdr:to>
    <xdr:sp macro="" textlink="">
      <xdr:nvSpPr>
        <xdr:cNvPr id="16382" name="Line 62"/>
        <xdr:cNvSpPr>
          <a:spLocks noChangeShapeType="1"/>
        </xdr:cNvSpPr>
      </xdr:nvSpPr>
      <xdr:spPr bwMode="auto">
        <a:xfrm flipV="1">
          <a:off x="7219950" y="16154400"/>
          <a:ext cx="97155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73</xdr:row>
      <xdr:rowOff>0</xdr:rowOff>
    </xdr:from>
    <xdr:to>
      <xdr:col>45</xdr:col>
      <xdr:colOff>0</xdr:colOff>
      <xdr:row>73</xdr:row>
      <xdr:rowOff>0</xdr:rowOff>
    </xdr:to>
    <xdr:sp macro="" textlink="">
      <xdr:nvSpPr>
        <xdr:cNvPr id="16383" name="Line 63"/>
        <xdr:cNvSpPr>
          <a:spLocks noChangeShapeType="1"/>
        </xdr:cNvSpPr>
      </xdr:nvSpPr>
      <xdr:spPr bwMode="auto">
        <a:xfrm>
          <a:off x="10144125" y="16154400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73</xdr:row>
      <xdr:rowOff>0</xdr:rowOff>
    </xdr:from>
    <xdr:to>
      <xdr:col>45</xdr:col>
      <xdr:colOff>0</xdr:colOff>
      <xdr:row>73</xdr:row>
      <xdr:rowOff>0</xdr:rowOff>
    </xdr:to>
    <xdr:sp macro="" textlink="">
      <xdr:nvSpPr>
        <xdr:cNvPr id="17408" name="Line 64"/>
        <xdr:cNvSpPr>
          <a:spLocks noChangeShapeType="1"/>
        </xdr:cNvSpPr>
      </xdr:nvSpPr>
      <xdr:spPr bwMode="auto">
        <a:xfrm>
          <a:off x="10144125" y="16154400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73</xdr:row>
      <xdr:rowOff>0</xdr:rowOff>
    </xdr:from>
    <xdr:to>
      <xdr:col>45</xdr:col>
      <xdr:colOff>0</xdr:colOff>
      <xdr:row>73</xdr:row>
      <xdr:rowOff>0</xdr:rowOff>
    </xdr:to>
    <xdr:sp macro="" textlink="">
      <xdr:nvSpPr>
        <xdr:cNvPr id="17409" name="Line 65"/>
        <xdr:cNvSpPr>
          <a:spLocks noChangeShapeType="1"/>
        </xdr:cNvSpPr>
      </xdr:nvSpPr>
      <xdr:spPr bwMode="auto">
        <a:xfrm>
          <a:off x="10144125" y="16154400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73</xdr:row>
      <xdr:rowOff>0</xdr:rowOff>
    </xdr:from>
    <xdr:to>
      <xdr:col>45</xdr:col>
      <xdr:colOff>0</xdr:colOff>
      <xdr:row>73</xdr:row>
      <xdr:rowOff>0</xdr:rowOff>
    </xdr:to>
    <xdr:sp macro="" textlink="">
      <xdr:nvSpPr>
        <xdr:cNvPr id="17410" name="Line 66"/>
        <xdr:cNvSpPr>
          <a:spLocks noChangeShapeType="1"/>
        </xdr:cNvSpPr>
      </xdr:nvSpPr>
      <xdr:spPr bwMode="auto">
        <a:xfrm>
          <a:off x="10144125" y="16154400"/>
          <a:ext cx="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19050</xdr:colOff>
      <xdr:row>73</xdr:row>
      <xdr:rowOff>0</xdr:rowOff>
    </xdr:from>
    <xdr:to>
      <xdr:col>33</xdr:col>
      <xdr:colOff>19050</xdr:colOff>
      <xdr:row>73</xdr:row>
      <xdr:rowOff>0</xdr:rowOff>
    </xdr:to>
    <xdr:sp macro="" textlink="">
      <xdr:nvSpPr>
        <xdr:cNvPr id="17411" name="Line 67"/>
        <xdr:cNvSpPr>
          <a:spLocks noChangeShapeType="1"/>
        </xdr:cNvSpPr>
      </xdr:nvSpPr>
      <xdr:spPr bwMode="auto">
        <a:xfrm flipV="1">
          <a:off x="7248525" y="16154400"/>
          <a:ext cx="97155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19050</xdr:colOff>
      <xdr:row>73</xdr:row>
      <xdr:rowOff>0</xdr:rowOff>
    </xdr:from>
    <xdr:to>
      <xdr:col>33</xdr:col>
      <xdr:colOff>19050</xdr:colOff>
      <xdr:row>73</xdr:row>
      <xdr:rowOff>0</xdr:rowOff>
    </xdr:to>
    <xdr:sp macro="" textlink="">
      <xdr:nvSpPr>
        <xdr:cNvPr id="17412" name="Line 68"/>
        <xdr:cNvSpPr>
          <a:spLocks noChangeShapeType="1"/>
        </xdr:cNvSpPr>
      </xdr:nvSpPr>
      <xdr:spPr bwMode="auto">
        <a:xfrm flipV="1">
          <a:off x="7248525" y="16154400"/>
          <a:ext cx="97155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19050</xdr:colOff>
      <xdr:row>73</xdr:row>
      <xdr:rowOff>0</xdr:rowOff>
    </xdr:from>
    <xdr:to>
      <xdr:col>33</xdr:col>
      <xdr:colOff>19050</xdr:colOff>
      <xdr:row>73</xdr:row>
      <xdr:rowOff>0</xdr:rowOff>
    </xdr:to>
    <xdr:sp macro="" textlink="">
      <xdr:nvSpPr>
        <xdr:cNvPr id="17413" name="Line 69"/>
        <xdr:cNvSpPr>
          <a:spLocks noChangeShapeType="1"/>
        </xdr:cNvSpPr>
      </xdr:nvSpPr>
      <xdr:spPr bwMode="auto">
        <a:xfrm flipV="1">
          <a:off x="7248525" y="16154400"/>
          <a:ext cx="97155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19050</xdr:colOff>
      <xdr:row>69</xdr:row>
      <xdr:rowOff>66675</xdr:rowOff>
    </xdr:from>
    <xdr:to>
      <xdr:col>33</xdr:col>
      <xdr:colOff>19050</xdr:colOff>
      <xdr:row>69</xdr:row>
      <xdr:rowOff>76200</xdr:rowOff>
    </xdr:to>
    <xdr:sp macro="" textlink="">
      <xdr:nvSpPr>
        <xdr:cNvPr id="17414" name="Line 70"/>
        <xdr:cNvSpPr>
          <a:spLocks noChangeShapeType="1"/>
        </xdr:cNvSpPr>
      </xdr:nvSpPr>
      <xdr:spPr bwMode="auto">
        <a:xfrm flipV="1">
          <a:off x="7248525" y="15611475"/>
          <a:ext cx="971550" cy="9525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19050</xdr:colOff>
      <xdr:row>73</xdr:row>
      <xdr:rowOff>0</xdr:rowOff>
    </xdr:from>
    <xdr:to>
      <xdr:col>33</xdr:col>
      <xdr:colOff>19050</xdr:colOff>
      <xdr:row>73</xdr:row>
      <xdr:rowOff>0</xdr:rowOff>
    </xdr:to>
    <xdr:sp macro="" textlink="">
      <xdr:nvSpPr>
        <xdr:cNvPr id="17415" name="Line 71"/>
        <xdr:cNvSpPr>
          <a:spLocks noChangeShapeType="1"/>
        </xdr:cNvSpPr>
      </xdr:nvSpPr>
      <xdr:spPr bwMode="auto">
        <a:xfrm flipV="1">
          <a:off x="7248525" y="16154400"/>
          <a:ext cx="97155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19050</xdr:colOff>
      <xdr:row>73</xdr:row>
      <xdr:rowOff>0</xdr:rowOff>
    </xdr:from>
    <xdr:to>
      <xdr:col>33</xdr:col>
      <xdr:colOff>19050</xdr:colOff>
      <xdr:row>73</xdr:row>
      <xdr:rowOff>0</xdr:rowOff>
    </xdr:to>
    <xdr:sp macro="" textlink="">
      <xdr:nvSpPr>
        <xdr:cNvPr id="17416" name="Line 72"/>
        <xdr:cNvSpPr>
          <a:spLocks noChangeShapeType="1"/>
        </xdr:cNvSpPr>
      </xdr:nvSpPr>
      <xdr:spPr bwMode="auto">
        <a:xfrm flipV="1">
          <a:off x="7248525" y="16154400"/>
          <a:ext cx="97155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19050</xdr:colOff>
      <xdr:row>73</xdr:row>
      <xdr:rowOff>0</xdr:rowOff>
    </xdr:from>
    <xdr:to>
      <xdr:col>15</xdr:col>
      <xdr:colOff>19050</xdr:colOff>
      <xdr:row>73</xdr:row>
      <xdr:rowOff>0</xdr:rowOff>
    </xdr:to>
    <xdr:sp macro="" textlink="">
      <xdr:nvSpPr>
        <xdr:cNvPr id="17417" name="Line 73"/>
        <xdr:cNvSpPr>
          <a:spLocks noChangeShapeType="1"/>
        </xdr:cNvSpPr>
      </xdr:nvSpPr>
      <xdr:spPr bwMode="auto">
        <a:xfrm flipV="1">
          <a:off x="4276725" y="16154400"/>
          <a:ext cx="102870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19050</xdr:colOff>
      <xdr:row>73</xdr:row>
      <xdr:rowOff>0</xdr:rowOff>
    </xdr:from>
    <xdr:to>
      <xdr:col>15</xdr:col>
      <xdr:colOff>19050</xdr:colOff>
      <xdr:row>73</xdr:row>
      <xdr:rowOff>0</xdr:rowOff>
    </xdr:to>
    <xdr:sp macro="" textlink="">
      <xdr:nvSpPr>
        <xdr:cNvPr id="17418" name="Line 74"/>
        <xdr:cNvSpPr>
          <a:spLocks noChangeShapeType="1"/>
        </xdr:cNvSpPr>
      </xdr:nvSpPr>
      <xdr:spPr bwMode="auto">
        <a:xfrm flipV="1">
          <a:off x="4276725" y="16154400"/>
          <a:ext cx="102870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58</xdr:col>
      <xdr:colOff>457200</xdr:colOff>
      <xdr:row>144</xdr:row>
      <xdr:rowOff>76200</xdr:rowOff>
    </xdr:from>
    <xdr:to>
      <xdr:col>62</xdr:col>
      <xdr:colOff>85725</xdr:colOff>
      <xdr:row>144</xdr:row>
      <xdr:rowOff>76200</xdr:rowOff>
    </xdr:to>
    <xdr:sp macro="" textlink="">
      <xdr:nvSpPr>
        <xdr:cNvPr id="17419" name="Line 75"/>
        <xdr:cNvSpPr>
          <a:spLocks noChangeShapeType="1"/>
        </xdr:cNvSpPr>
      </xdr:nvSpPr>
      <xdr:spPr bwMode="auto">
        <a:xfrm>
          <a:off x="18078450" y="26374725"/>
          <a:ext cx="2066925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58</xdr:col>
      <xdr:colOff>457200</xdr:colOff>
      <xdr:row>144</xdr:row>
      <xdr:rowOff>76200</xdr:rowOff>
    </xdr:from>
    <xdr:to>
      <xdr:col>62</xdr:col>
      <xdr:colOff>85725</xdr:colOff>
      <xdr:row>144</xdr:row>
      <xdr:rowOff>76200</xdr:rowOff>
    </xdr:to>
    <xdr:sp macro="" textlink="">
      <xdr:nvSpPr>
        <xdr:cNvPr id="17420" name="Line 76"/>
        <xdr:cNvSpPr>
          <a:spLocks noChangeShapeType="1"/>
        </xdr:cNvSpPr>
      </xdr:nvSpPr>
      <xdr:spPr bwMode="auto">
        <a:xfrm>
          <a:off x="18078450" y="26374725"/>
          <a:ext cx="2066925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152400</xdr:colOff>
      <xdr:row>73</xdr:row>
      <xdr:rowOff>0</xdr:rowOff>
    </xdr:from>
    <xdr:to>
      <xdr:col>44</xdr:col>
      <xdr:colOff>152400</xdr:colOff>
      <xdr:row>73</xdr:row>
      <xdr:rowOff>0</xdr:rowOff>
    </xdr:to>
    <xdr:sp macro="" textlink="">
      <xdr:nvSpPr>
        <xdr:cNvPr id="17421" name="Line 77"/>
        <xdr:cNvSpPr>
          <a:spLocks noChangeShapeType="1"/>
        </xdr:cNvSpPr>
      </xdr:nvSpPr>
      <xdr:spPr bwMode="auto">
        <a:xfrm>
          <a:off x="8191500" y="16154400"/>
          <a:ext cx="1943100" cy="0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73</xdr:row>
      <xdr:rowOff>0</xdr:rowOff>
    </xdr:from>
    <xdr:to>
      <xdr:col>33</xdr:col>
      <xdr:colOff>0</xdr:colOff>
      <xdr:row>73</xdr:row>
      <xdr:rowOff>0</xdr:rowOff>
    </xdr:to>
    <xdr:sp macro="" textlink="">
      <xdr:nvSpPr>
        <xdr:cNvPr id="17422" name="Drawing 134"/>
        <xdr:cNvSpPr>
          <a:spLocks/>
        </xdr:cNvSpPr>
      </xdr:nvSpPr>
      <xdr:spPr bwMode="auto">
        <a:xfrm>
          <a:off x="7715250" y="16154400"/>
          <a:ext cx="485775" cy="0"/>
        </a:xfrm>
        <a:custGeom>
          <a:avLst/>
          <a:gdLst>
            <a:gd name="T0" fmla="*/ 695358603 w 16384"/>
            <a:gd name="T1" fmla="*/ 0 h 16384"/>
            <a:gd name="T2" fmla="*/ 0 w 16384"/>
            <a:gd name="T3" fmla="*/ 0 h 16384"/>
            <a:gd name="T4" fmla="*/ 0 w 16384"/>
            <a:gd name="T5" fmla="*/ 0 h 16384"/>
            <a:gd name="T6" fmla="*/ 695358603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16384" h="16384">
              <a:moveTo>
                <a:pt x="16384" y="16384"/>
              </a:moveTo>
              <a:lnTo>
                <a:pt x="0" y="16384"/>
              </a:lnTo>
              <a:lnTo>
                <a:pt x="0" y="0"/>
              </a:lnTo>
              <a:lnTo>
                <a:pt x="16384" y="0"/>
              </a:ln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44</xdr:col>
      <xdr:colOff>114300</xdr:colOff>
      <xdr:row>73</xdr:row>
      <xdr:rowOff>0</xdr:rowOff>
    </xdr:from>
    <xdr:to>
      <xdr:col>44</xdr:col>
      <xdr:colOff>114300</xdr:colOff>
      <xdr:row>73</xdr:row>
      <xdr:rowOff>123825</xdr:rowOff>
    </xdr:to>
    <xdr:sp macro="" textlink="">
      <xdr:nvSpPr>
        <xdr:cNvPr id="17423" name="Line 82"/>
        <xdr:cNvSpPr>
          <a:spLocks noChangeShapeType="1"/>
        </xdr:cNvSpPr>
      </xdr:nvSpPr>
      <xdr:spPr bwMode="auto">
        <a:xfrm flipV="1">
          <a:off x="10096500" y="16154400"/>
          <a:ext cx="0" cy="123825"/>
        </a:xfrm>
        <a:prstGeom prst="line">
          <a:avLst/>
        </a:prstGeom>
        <a:noFill/>
        <a:ln w="24765">
          <a:solidFill>
            <a:srgbClr xmlns:mc="http://schemas.openxmlformats.org/markup-compatibility/2006" xmlns:a14="http://schemas.microsoft.com/office/drawing/2010/main" val="F20884" mc:Ignorable="a14" a14:legacySpreadsheetColorIndex="1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1"/>
  <sheetViews>
    <sheetView tabSelected="1" view="pageBreakPreview" zoomScale="85" zoomScaleNormal="100" zoomScaleSheetLayoutView="85" workbookViewId="0">
      <selection activeCell="E8" sqref="E8"/>
    </sheetView>
  </sheetViews>
  <sheetFormatPr defaultColWidth="11.42578125" defaultRowHeight="12.75" x14ac:dyDescent="0.2"/>
  <cols>
    <col min="1" max="1" width="7.42578125" style="12" customWidth="1"/>
    <col min="2" max="2" width="13.42578125" style="12" customWidth="1"/>
    <col min="3" max="3" width="8.28515625" style="12" customWidth="1"/>
    <col min="4" max="4" width="11.7109375" style="12" customWidth="1"/>
    <col min="5" max="5" width="31.42578125" style="12" bestFit="1" customWidth="1"/>
    <col min="6" max="6" width="16.28515625" style="12" customWidth="1"/>
    <col min="7" max="7" width="12.42578125" style="12" customWidth="1"/>
    <col min="8" max="8" width="20.42578125" style="12" customWidth="1"/>
    <col min="9" max="9" width="20" style="12" customWidth="1"/>
    <col min="10" max="10" width="24.7109375" style="12" customWidth="1"/>
    <col min="11" max="13" width="14.85546875" style="12" hidden="1" customWidth="1"/>
    <col min="14" max="14" width="11.42578125" style="10"/>
    <col min="15" max="15" width="23.85546875" style="10" customWidth="1"/>
    <col min="16" max="16" width="24" style="10" customWidth="1"/>
    <col min="17" max="17" width="19.7109375" style="10" customWidth="1"/>
    <col min="18" max="18" width="19.5703125" style="10" customWidth="1"/>
    <col min="19" max="19" width="22" style="10" customWidth="1"/>
    <col min="20" max="20" width="26.28515625" style="10" customWidth="1"/>
    <col min="21" max="16384" width="11.42578125" style="10"/>
  </cols>
  <sheetData>
    <row r="1" spans="1:16" ht="30" customHeight="1" x14ac:dyDescent="0.2">
      <c r="A1" s="248" t="s">
        <v>113</v>
      </c>
      <c r="B1" s="10"/>
      <c r="C1" s="10"/>
      <c r="D1" s="10"/>
      <c r="E1" s="10"/>
      <c r="H1" s="236"/>
    </row>
    <row r="2" spans="1:16" ht="9.75" customHeight="1" x14ac:dyDescent="0.2">
      <c r="A2" s="249"/>
      <c r="B2" s="250"/>
      <c r="C2" s="250"/>
      <c r="D2" s="250"/>
      <c r="E2" s="250"/>
      <c r="F2" s="251"/>
      <c r="G2" s="251"/>
      <c r="H2" s="251"/>
      <c r="I2" s="251"/>
      <c r="J2" s="251"/>
      <c r="K2" s="251"/>
      <c r="L2" s="251"/>
      <c r="M2" s="251"/>
      <c r="N2" s="250"/>
      <c r="O2" s="250"/>
      <c r="P2" s="250"/>
    </row>
    <row r="3" spans="1:16" x14ac:dyDescent="0.2">
      <c r="A3" s="284" t="s">
        <v>121</v>
      </c>
      <c r="B3" s="284"/>
      <c r="C3" s="284"/>
      <c r="D3" s="284"/>
      <c r="E3" s="284"/>
      <c r="I3" s="245"/>
    </row>
    <row r="4" spans="1:16" x14ac:dyDescent="0.2">
      <c r="A4" s="293" t="s">
        <v>8</v>
      </c>
      <c r="B4" s="293"/>
      <c r="C4" s="293"/>
      <c r="D4" s="293"/>
      <c r="E4" s="293"/>
      <c r="I4" s="223"/>
    </row>
    <row r="5" spans="1:16" x14ac:dyDescent="0.2">
      <c r="A5" s="284" t="s">
        <v>118</v>
      </c>
      <c r="B5" s="284"/>
      <c r="C5" s="284"/>
      <c r="D5" s="284"/>
      <c r="E5" s="284"/>
      <c r="H5" s="223"/>
      <c r="I5" s="223"/>
    </row>
    <row r="6" spans="1:16" x14ac:dyDescent="0.2">
      <c r="A6" s="294" t="s">
        <v>111</v>
      </c>
      <c r="B6" s="293"/>
      <c r="C6" s="252">
        <v>36</v>
      </c>
      <c r="D6" s="268" t="s">
        <v>105</v>
      </c>
      <c r="E6" s="268"/>
      <c r="H6" s="223"/>
      <c r="I6" s="223"/>
    </row>
    <row r="7" spans="1:16" ht="13.5" thickBot="1" x14ac:dyDescent="0.25">
      <c r="A7" s="240" t="s">
        <v>10</v>
      </c>
      <c r="B7" s="241"/>
      <c r="C7" s="241" t="e">
        <f>#REF!</f>
        <v>#REF!</v>
      </c>
      <c r="D7" s="241" t="e">
        <f>#REF!</f>
        <v>#REF!</v>
      </c>
      <c r="E7" s="10"/>
      <c r="H7" s="223"/>
    </row>
    <row r="8" spans="1:16" s="13" customFormat="1" ht="38.25" customHeight="1" x14ac:dyDescent="0.2">
      <c r="H8" s="275" t="s">
        <v>33</v>
      </c>
      <c r="I8" s="276"/>
      <c r="J8" s="277"/>
      <c r="K8" s="282" t="s">
        <v>60</v>
      </c>
      <c r="L8" s="276"/>
      <c r="M8" s="277"/>
    </row>
    <row r="9" spans="1:16" s="13" customFormat="1" ht="12.75" customHeight="1" thickBot="1" x14ac:dyDescent="0.25">
      <c r="D9" s="222"/>
      <c r="H9" s="278" t="s">
        <v>56</v>
      </c>
      <c r="I9" s="279"/>
      <c r="J9" s="283" t="s">
        <v>5</v>
      </c>
      <c r="K9" s="278" t="s">
        <v>56</v>
      </c>
      <c r="L9" s="279"/>
      <c r="M9" s="283" t="s">
        <v>4</v>
      </c>
    </row>
    <row r="10" spans="1:16" s="14" customFormat="1" ht="45" customHeight="1" x14ac:dyDescent="0.2">
      <c r="A10" s="291" t="s">
        <v>9</v>
      </c>
      <c r="B10" s="287" t="s">
        <v>2</v>
      </c>
      <c r="C10" s="287" t="s">
        <v>3</v>
      </c>
      <c r="D10" s="273"/>
      <c r="E10" s="285" t="s">
        <v>58</v>
      </c>
      <c r="F10" s="287" t="s">
        <v>40</v>
      </c>
      <c r="G10" s="289" t="s">
        <v>39</v>
      </c>
      <c r="H10" s="18" t="s">
        <v>55</v>
      </c>
      <c r="I10" s="8" t="s">
        <v>7</v>
      </c>
      <c r="J10" s="283"/>
      <c r="K10" s="18" t="s">
        <v>55</v>
      </c>
      <c r="L10" s="8" t="s">
        <v>7</v>
      </c>
      <c r="M10" s="283"/>
    </row>
    <row r="11" spans="1:16" s="14" customFormat="1" ht="34.5" customHeight="1" thickBot="1" x14ac:dyDescent="0.25">
      <c r="A11" s="292"/>
      <c r="B11" s="288"/>
      <c r="C11" s="288"/>
      <c r="D11" s="274"/>
      <c r="E11" s="286"/>
      <c r="F11" s="288"/>
      <c r="G11" s="290"/>
      <c r="H11" s="269"/>
      <c r="I11" s="11">
        <v>0.25</v>
      </c>
      <c r="J11" s="16">
        <v>1</v>
      </c>
      <c r="K11" s="269"/>
      <c r="L11" s="11">
        <v>0.6</v>
      </c>
      <c r="M11" s="16">
        <v>0.5</v>
      </c>
      <c r="P11" s="15"/>
    </row>
    <row r="12" spans="1:16" s="15" customFormat="1" ht="27" customHeight="1" x14ac:dyDescent="0.2">
      <c r="A12" s="22"/>
      <c r="B12" s="23" t="e">
        <f>D7</f>
        <v>#REF!</v>
      </c>
      <c r="C12" s="24"/>
      <c r="D12" s="23"/>
      <c r="E12" s="24" t="s">
        <v>61</v>
      </c>
      <c r="F12" s="24"/>
      <c r="G12" s="32">
        <f>SUM(G13:G18)</f>
        <v>0</v>
      </c>
      <c r="H12" s="25">
        <f>SUM(H13:H19)</f>
        <v>0</v>
      </c>
      <c r="I12" s="25">
        <f t="shared" ref="I12:J12" si="0">SUM(I13:I19)</f>
        <v>0</v>
      </c>
      <c r="J12" s="25">
        <f t="shared" si="0"/>
        <v>0</v>
      </c>
      <c r="K12" s="25" t="e">
        <f>SUM(#REF!,#REF!)</f>
        <v>#REF!</v>
      </c>
      <c r="L12" s="26" t="e">
        <f>SUM(#REF!,#REF!)</f>
        <v>#REF!</v>
      </c>
      <c r="M12" s="27" t="e">
        <f>SUM(#REF!,#REF!)</f>
        <v>#REF!</v>
      </c>
    </row>
    <row r="13" spans="1:16" s="40" customFormat="1" x14ac:dyDescent="0.2">
      <c r="A13" s="9"/>
      <c r="B13" s="6"/>
      <c r="C13" s="33"/>
      <c r="D13" s="112"/>
      <c r="E13" s="33" t="s">
        <v>119</v>
      </c>
      <c r="F13" s="270"/>
      <c r="G13" s="247"/>
      <c r="H13" s="36">
        <f t="shared" ref="H13:H18" si="1">F13*G13</f>
        <v>0</v>
      </c>
      <c r="I13" s="37">
        <f>H13*$I$11</f>
        <v>0</v>
      </c>
      <c r="J13" s="38">
        <f>SUM(H13:I13)*J$11</f>
        <v>0</v>
      </c>
      <c r="K13" s="39"/>
      <c r="L13" s="37">
        <f>K13*L$11</f>
        <v>0</v>
      </c>
      <c r="M13" s="38">
        <f>SUM(K13:L13)*M$11</f>
        <v>0</v>
      </c>
    </row>
    <row r="14" spans="1:16" s="40" customFormat="1" x14ac:dyDescent="0.2">
      <c r="A14" s="9"/>
      <c r="B14" s="6"/>
      <c r="C14" s="33"/>
      <c r="D14" s="112"/>
      <c r="E14" s="33" t="s">
        <v>114</v>
      </c>
      <c r="F14" s="270"/>
      <c r="G14" s="247"/>
      <c r="H14" s="36">
        <f t="shared" si="1"/>
        <v>0</v>
      </c>
      <c r="I14" s="37">
        <f t="shared" ref="I14:I17" si="2">H14*$I$11</f>
        <v>0</v>
      </c>
      <c r="J14" s="38">
        <f>SUM(H14:I14)*J$11</f>
        <v>0</v>
      </c>
      <c r="K14" s="39"/>
      <c r="L14" s="37"/>
      <c r="M14" s="38"/>
    </row>
    <row r="15" spans="1:16" s="40" customFormat="1" x14ac:dyDescent="0.2">
      <c r="A15" s="9"/>
      <c r="B15" s="6"/>
      <c r="C15" s="33"/>
      <c r="D15" s="112"/>
      <c r="E15" s="33" t="s">
        <v>120</v>
      </c>
      <c r="F15" s="270"/>
      <c r="G15" s="247"/>
      <c r="H15" s="36">
        <f t="shared" si="1"/>
        <v>0</v>
      </c>
      <c r="I15" s="37">
        <f t="shared" si="2"/>
        <v>0</v>
      </c>
      <c r="J15" s="38">
        <f>SUM(H15:I15)*J$11</f>
        <v>0</v>
      </c>
      <c r="K15" s="39"/>
      <c r="L15" s="37"/>
      <c r="M15" s="38"/>
    </row>
    <row r="16" spans="1:16" s="40" customFormat="1" x14ac:dyDescent="0.2">
      <c r="A16" s="9"/>
      <c r="B16" s="6"/>
      <c r="C16" s="33"/>
      <c r="D16" s="112"/>
      <c r="E16" s="33" t="s">
        <v>114</v>
      </c>
      <c r="F16" s="270"/>
      <c r="G16" s="247"/>
      <c r="H16" s="36">
        <f t="shared" si="1"/>
        <v>0</v>
      </c>
      <c r="I16" s="37">
        <f t="shared" si="2"/>
        <v>0</v>
      </c>
      <c r="J16" s="38">
        <f>SUM(H16:I16)*J$11</f>
        <v>0</v>
      </c>
      <c r="K16" s="39"/>
      <c r="L16" s="37"/>
      <c r="M16" s="38"/>
    </row>
    <row r="17" spans="1:19" s="40" customFormat="1" x14ac:dyDescent="0.2">
      <c r="A17" s="9"/>
      <c r="B17" s="6"/>
      <c r="C17" s="33"/>
      <c r="D17" s="112"/>
      <c r="E17" s="33"/>
      <c r="F17" s="246"/>
      <c r="G17" s="247"/>
      <c r="H17" s="36">
        <f t="shared" si="1"/>
        <v>0</v>
      </c>
      <c r="I17" s="37">
        <f t="shared" si="2"/>
        <v>0</v>
      </c>
      <c r="J17" s="38">
        <f>SUM(H17:I17)*J$11</f>
        <v>0</v>
      </c>
      <c r="K17" s="39"/>
      <c r="L17" s="37"/>
      <c r="M17" s="38"/>
      <c r="N17" s="15"/>
      <c r="O17" s="15"/>
      <c r="P17" s="15"/>
      <c r="Q17" s="15"/>
      <c r="R17" s="15"/>
      <c r="S17" s="15"/>
    </row>
    <row r="18" spans="1:19" s="40" customFormat="1" ht="13.5" customHeight="1" x14ac:dyDescent="0.2">
      <c r="A18" s="9"/>
      <c r="B18" s="6"/>
      <c r="C18" s="33"/>
      <c r="D18" s="112"/>
      <c r="E18" s="33"/>
      <c r="F18" s="246"/>
      <c r="G18" s="247"/>
      <c r="H18" s="36">
        <f t="shared" si="1"/>
        <v>0</v>
      </c>
      <c r="I18" s="37">
        <f>H18*$I$11</f>
        <v>0</v>
      </c>
      <c r="J18" s="38">
        <f>H18+I18</f>
        <v>0</v>
      </c>
      <c r="K18" s="39"/>
      <c r="L18" s="37">
        <f>K18*L$11</f>
        <v>0</v>
      </c>
      <c r="M18" s="38">
        <f>SUM(K18:L18)*M$11</f>
        <v>0</v>
      </c>
    </row>
    <row r="19" spans="1:19" s="40" customFormat="1" ht="13.5" customHeight="1" x14ac:dyDescent="0.2">
      <c r="A19" s="9"/>
      <c r="B19" s="6"/>
      <c r="C19" s="33"/>
      <c r="D19" s="34"/>
      <c r="E19" s="33"/>
      <c r="F19" s="33"/>
      <c r="G19" s="35"/>
      <c r="H19" s="36"/>
      <c r="I19" s="232"/>
      <c r="J19" s="233"/>
      <c r="K19" s="39"/>
      <c r="L19" s="232"/>
      <c r="M19" s="233"/>
    </row>
    <row r="20" spans="1:19" s="15" customFormat="1" ht="40.5" customHeight="1" x14ac:dyDescent="0.2">
      <c r="A20" s="7"/>
      <c r="B20" s="1" t="e">
        <f>B12</f>
        <v>#REF!</v>
      </c>
      <c r="C20" s="2"/>
      <c r="D20" s="1"/>
      <c r="E20" s="2" t="s">
        <v>6</v>
      </c>
      <c r="F20" s="2" t="s">
        <v>41</v>
      </c>
      <c r="G20" s="30" t="s">
        <v>89</v>
      </c>
      <c r="H20" s="3">
        <f t="shared" ref="H20:M20" si="3">SUM(H21:H26)</f>
        <v>0</v>
      </c>
      <c r="I20" s="3">
        <f t="shared" si="3"/>
        <v>0</v>
      </c>
      <c r="J20" s="3">
        <f t="shared" si="3"/>
        <v>0</v>
      </c>
      <c r="K20" s="3">
        <f t="shared" si="3"/>
        <v>0</v>
      </c>
      <c r="L20" s="3">
        <f t="shared" si="3"/>
        <v>0</v>
      </c>
      <c r="M20" s="3">
        <f t="shared" si="3"/>
        <v>0</v>
      </c>
      <c r="N20" s="40"/>
      <c r="O20" s="40"/>
      <c r="P20" s="40"/>
      <c r="Q20" s="40"/>
      <c r="R20" s="40"/>
      <c r="S20" s="40"/>
    </row>
    <row r="21" spans="1:19" s="40" customFormat="1" x14ac:dyDescent="0.2">
      <c r="A21" s="9"/>
      <c r="B21" s="6"/>
      <c r="C21" s="33"/>
      <c r="D21" s="34"/>
      <c r="E21" s="41"/>
      <c r="F21" s="41">
        <v>0</v>
      </c>
      <c r="G21" s="259"/>
      <c r="H21" s="39">
        <f t="shared" ref="H21:H26" si="4">G21*F21</f>
        <v>0</v>
      </c>
      <c r="I21" s="37">
        <f>H21*$I$11</f>
        <v>0</v>
      </c>
      <c r="J21" s="38">
        <f t="shared" ref="J21:J26" si="5">SUM(H21:I21)*J$11</f>
        <v>0</v>
      </c>
      <c r="K21" s="39"/>
      <c r="L21" s="37">
        <f>K21*L$11</f>
        <v>0</v>
      </c>
      <c r="M21" s="38">
        <f>SUM(K21:L21)*M$11</f>
        <v>0</v>
      </c>
      <c r="O21" s="260" t="s">
        <v>115</v>
      </c>
      <c r="P21" s="261"/>
    </row>
    <row r="22" spans="1:19" s="40" customFormat="1" x14ac:dyDescent="0.2">
      <c r="A22" s="253"/>
      <c r="B22" s="254"/>
      <c r="C22" s="255"/>
      <c r="D22" s="256"/>
      <c r="E22" s="266"/>
      <c r="F22" s="266">
        <v>0</v>
      </c>
      <c r="G22" s="267"/>
      <c r="H22" s="39">
        <f t="shared" si="4"/>
        <v>0</v>
      </c>
      <c r="I22" s="37">
        <f>H22*$I$11</f>
        <v>0</v>
      </c>
      <c r="J22" s="38">
        <f t="shared" si="5"/>
        <v>0</v>
      </c>
      <c r="K22" s="257"/>
      <c r="L22" s="258"/>
      <c r="M22" s="38"/>
      <c r="O22" s="260"/>
      <c r="P22" s="261"/>
    </row>
    <row r="23" spans="1:19" s="40" customFormat="1" ht="25.5" customHeight="1" x14ac:dyDescent="0.2">
      <c r="A23" s="9"/>
      <c r="B23" s="6"/>
      <c r="C23" s="33"/>
      <c r="D23" s="34"/>
      <c r="E23" s="41"/>
      <c r="F23" s="41">
        <v>0</v>
      </c>
      <c r="G23" s="259"/>
      <c r="H23" s="39">
        <f t="shared" si="4"/>
        <v>0</v>
      </c>
      <c r="I23" s="37">
        <f t="shared" ref="I23:I26" si="6">H23*$I$11</f>
        <v>0</v>
      </c>
      <c r="J23" s="38">
        <f t="shared" si="5"/>
        <v>0</v>
      </c>
      <c r="K23" s="39"/>
      <c r="L23" s="37"/>
      <c r="M23" s="38"/>
      <c r="O23" s="260" t="s">
        <v>112</v>
      </c>
      <c r="P23" s="263">
        <v>400</v>
      </c>
    </row>
    <row r="24" spans="1:19" s="40" customFormat="1" ht="51" x14ac:dyDescent="0.2">
      <c r="A24" s="9"/>
      <c r="B24" s="6"/>
      <c r="C24" s="33"/>
      <c r="D24" s="34"/>
      <c r="E24" s="41"/>
      <c r="F24" s="41">
        <v>0</v>
      </c>
      <c r="G24" s="259"/>
      <c r="H24" s="39">
        <f t="shared" si="4"/>
        <v>0</v>
      </c>
      <c r="I24" s="37">
        <f t="shared" si="6"/>
        <v>0</v>
      </c>
      <c r="J24" s="38">
        <f t="shared" si="5"/>
        <v>0</v>
      </c>
      <c r="K24" s="39"/>
      <c r="L24" s="37"/>
      <c r="M24" s="38"/>
      <c r="O24" s="262" t="s">
        <v>116</v>
      </c>
      <c r="P24" s="264">
        <v>200</v>
      </c>
    </row>
    <row r="25" spans="1:19" s="40" customFormat="1" x14ac:dyDescent="0.2">
      <c r="A25" s="9"/>
      <c r="B25" s="6"/>
      <c r="C25" s="33"/>
      <c r="D25" s="34"/>
      <c r="E25" s="41"/>
      <c r="F25" s="41">
        <v>0</v>
      </c>
      <c r="G25" s="259"/>
      <c r="H25" s="39">
        <f t="shared" si="4"/>
        <v>0</v>
      </c>
      <c r="I25" s="37">
        <f t="shared" si="6"/>
        <v>0</v>
      </c>
      <c r="J25" s="38">
        <f t="shared" si="5"/>
        <v>0</v>
      </c>
      <c r="K25" s="39"/>
      <c r="L25" s="37"/>
      <c r="M25" s="38"/>
      <c r="N25" s="15"/>
      <c r="O25" s="15"/>
      <c r="P25" s="15"/>
      <c r="Q25" s="15"/>
      <c r="R25" s="15"/>
      <c r="S25" s="15"/>
    </row>
    <row r="26" spans="1:19" s="40" customFormat="1" x14ac:dyDescent="0.2">
      <c r="A26" s="9"/>
      <c r="B26" s="6"/>
      <c r="C26" s="33"/>
      <c r="D26" s="34"/>
      <c r="E26" s="41"/>
      <c r="F26" s="33"/>
      <c r="G26" s="35"/>
      <c r="H26" s="39">
        <f t="shared" si="4"/>
        <v>0</v>
      </c>
      <c r="I26" s="37">
        <f t="shared" si="6"/>
        <v>0</v>
      </c>
      <c r="J26" s="38">
        <f t="shared" si="5"/>
        <v>0</v>
      </c>
      <c r="K26" s="39"/>
      <c r="L26" s="37"/>
      <c r="M26" s="38"/>
    </row>
    <row r="27" spans="1:19" s="15" customFormat="1" x14ac:dyDescent="0.2">
      <c r="A27" s="7"/>
      <c r="B27" s="1" t="e">
        <f>B12</f>
        <v>#REF!</v>
      </c>
      <c r="C27" s="2"/>
      <c r="D27" s="1"/>
      <c r="E27" s="2" t="s">
        <v>62</v>
      </c>
      <c r="F27" s="2"/>
      <c r="G27" s="31"/>
      <c r="H27" s="3">
        <f>SUM(H28:H32)</f>
        <v>0</v>
      </c>
      <c r="I27" s="3">
        <f>SUM(I28:I32)</f>
        <v>0</v>
      </c>
      <c r="J27" s="3">
        <f>SUM(J28:J32)</f>
        <v>0</v>
      </c>
      <c r="K27" s="3">
        <f>SUM(K28:K30)</f>
        <v>0</v>
      </c>
      <c r="L27" s="3">
        <f>SUM(L28:L30)</f>
        <v>0</v>
      </c>
      <c r="M27" s="3">
        <f>SUM(M28:M30)</f>
        <v>0</v>
      </c>
      <c r="N27" s="40"/>
      <c r="O27" s="40"/>
      <c r="P27" s="40"/>
      <c r="Q27" s="40"/>
      <c r="R27" s="40"/>
      <c r="S27" s="40"/>
    </row>
    <row r="28" spans="1:19" s="40" customFormat="1" x14ac:dyDescent="0.2">
      <c r="A28" s="9"/>
      <c r="B28" s="6"/>
      <c r="C28" s="33"/>
      <c r="D28" s="34"/>
      <c r="E28" s="41"/>
      <c r="F28" s="33">
        <v>0</v>
      </c>
      <c r="G28" s="265"/>
      <c r="H28" s="39">
        <f>F28*G28</f>
        <v>0</v>
      </c>
      <c r="I28" s="37">
        <f>H28*$I$11</f>
        <v>0</v>
      </c>
      <c r="J28" s="38">
        <f>SUM(H28:I28)*J$11</f>
        <v>0</v>
      </c>
      <c r="K28" s="39"/>
      <c r="L28" s="37">
        <f>K28*L$11</f>
        <v>0</v>
      </c>
      <c r="M28" s="38">
        <f>SUM(K28:L28)*M$11</f>
        <v>0</v>
      </c>
    </row>
    <row r="29" spans="1:19" s="40" customFormat="1" x14ac:dyDescent="0.2">
      <c r="A29" s="9"/>
      <c r="B29" s="6"/>
      <c r="C29" s="33"/>
      <c r="D29" s="34"/>
      <c r="E29" s="41"/>
      <c r="F29" s="33">
        <v>0</v>
      </c>
      <c r="G29" s="265"/>
      <c r="H29" s="39">
        <f>F29*G29</f>
        <v>0</v>
      </c>
      <c r="I29" s="37">
        <f t="shared" ref="I29:I32" si="7">H29*$I$11</f>
        <v>0</v>
      </c>
      <c r="J29" s="38">
        <f>SUM(H29:I29)*J$11</f>
        <v>0</v>
      </c>
      <c r="K29" s="39"/>
      <c r="L29" s="37">
        <f>K29*L$11</f>
        <v>0</v>
      </c>
      <c r="M29" s="38">
        <f>SUM(K29:L29)*M$11</f>
        <v>0</v>
      </c>
      <c r="N29" s="15"/>
      <c r="O29" s="15"/>
      <c r="P29" s="15"/>
      <c r="Q29" s="15"/>
      <c r="R29" s="15"/>
      <c r="S29" s="15"/>
    </row>
    <row r="30" spans="1:19" s="40" customFormat="1" x14ac:dyDescent="0.2">
      <c r="A30" s="9"/>
      <c r="B30" s="6"/>
      <c r="C30" s="33"/>
      <c r="D30" s="34"/>
      <c r="E30" s="41"/>
      <c r="F30" s="33">
        <v>0</v>
      </c>
      <c r="G30" s="265"/>
      <c r="H30" s="39">
        <f>F30*G30</f>
        <v>0</v>
      </c>
      <c r="I30" s="37">
        <f t="shared" si="7"/>
        <v>0</v>
      </c>
      <c r="J30" s="38">
        <f>SUM(H30:I30)*J$11</f>
        <v>0</v>
      </c>
      <c r="K30" s="39"/>
      <c r="L30" s="37">
        <f>K30*L$11</f>
        <v>0</v>
      </c>
      <c r="M30" s="38">
        <f>SUM(K30:L30)*M$11</f>
        <v>0</v>
      </c>
      <c r="N30" s="43"/>
      <c r="O30" s="43"/>
      <c r="P30" s="43"/>
      <c r="Q30" s="43"/>
      <c r="R30" s="43"/>
      <c r="S30" s="43"/>
    </row>
    <row r="31" spans="1:19" s="40" customFormat="1" x14ac:dyDescent="0.2">
      <c r="A31" s="253"/>
      <c r="B31" s="254"/>
      <c r="C31" s="255"/>
      <c r="D31" s="256"/>
      <c r="E31" s="41"/>
      <c r="F31" s="33">
        <v>0</v>
      </c>
      <c r="G31" s="265"/>
      <c r="H31" s="257">
        <f>F31*G31</f>
        <v>0</v>
      </c>
      <c r="I31" s="37">
        <f t="shared" si="7"/>
        <v>0</v>
      </c>
      <c r="J31" s="38">
        <f>H31+I31</f>
        <v>0</v>
      </c>
      <c r="K31" s="257"/>
      <c r="L31" s="258"/>
      <c r="M31" s="38"/>
      <c r="N31" s="15"/>
      <c r="O31" s="15"/>
      <c r="P31" s="15"/>
      <c r="Q31" s="15"/>
      <c r="R31" s="15"/>
      <c r="S31" s="15"/>
    </row>
    <row r="32" spans="1:19" s="40" customFormat="1" x14ac:dyDescent="0.2">
      <c r="A32" s="253"/>
      <c r="B32" s="254"/>
      <c r="C32" s="255"/>
      <c r="D32" s="256"/>
      <c r="E32" s="266"/>
      <c r="F32" s="33">
        <v>0</v>
      </c>
      <c r="G32" s="265"/>
      <c r="H32" s="257">
        <f>F32*G32</f>
        <v>0</v>
      </c>
      <c r="I32" s="37">
        <f t="shared" si="7"/>
        <v>0</v>
      </c>
      <c r="J32" s="38">
        <f>H32+I32</f>
        <v>0</v>
      </c>
      <c r="K32" s="257"/>
      <c r="L32" s="258"/>
      <c r="M32" s="38"/>
      <c r="N32" s="15"/>
      <c r="O32" s="15"/>
      <c r="P32" s="15"/>
      <c r="Q32" s="15"/>
      <c r="R32" s="15"/>
      <c r="S32" s="15"/>
    </row>
    <row r="33" spans="1:19" s="15" customFormat="1" ht="30" customHeight="1" x14ac:dyDescent="0.2">
      <c r="A33" s="7"/>
      <c r="B33" s="1" t="e">
        <f>B12</f>
        <v>#REF!</v>
      </c>
      <c r="C33" s="2"/>
      <c r="D33" s="1"/>
      <c r="E33" s="2" t="s">
        <v>0</v>
      </c>
      <c r="F33" s="2"/>
      <c r="G33" s="31"/>
      <c r="H33" s="3">
        <f t="shared" ref="H33:M33" si="8">SUM(H34:H36)</f>
        <v>0</v>
      </c>
      <c r="I33" s="4">
        <f t="shared" si="8"/>
        <v>0</v>
      </c>
      <c r="J33" s="5">
        <f t="shared" si="8"/>
        <v>0</v>
      </c>
      <c r="K33" s="3">
        <f t="shared" si="8"/>
        <v>0</v>
      </c>
      <c r="L33" s="4">
        <f t="shared" si="8"/>
        <v>0</v>
      </c>
      <c r="M33" s="5">
        <f t="shared" si="8"/>
        <v>0</v>
      </c>
      <c r="N33" s="10"/>
      <c r="O33" s="10"/>
      <c r="P33" s="10"/>
      <c r="Q33" s="10"/>
      <c r="R33" s="10"/>
      <c r="S33" s="10"/>
    </row>
    <row r="34" spans="1:19" s="40" customFormat="1" x14ac:dyDescent="0.2">
      <c r="A34" s="9"/>
      <c r="B34" s="6"/>
      <c r="C34" s="33"/>
      <c r="D34" s="34"/>
      <c r="E34" s="33"/>
      <c r="F34" s="33"/>
      <c r="G34" s="35"/>
      <c r="H34" s="39"/>
      <c r="I34" s="37"/>
      <c r="J34" s="38">
        <f>SUM(H34:I34)*J$11</f>
        <v>0</v>
      </c>
      <c r="K34" s="39"/>
      <c r="L34" s="37">
        <f>K34*L$11</f>
        <v>0</v>
      </c>
      <c r="M34" s="38">
        <f>SUM(K34:L34)*M$11</f>
        <v>0</v>
      </c>
      <c r="N34" s="10"/>
      <c r="O34" s="10"/>
      <c r="P34" s="10"/>
      <c r="Q34" s="10"/>
      <c r="R34" s="10"/>
      <c r="S34" s="10"/>
    </row>
    <row r="35" spans="1:19" s="40" customFormat="1" x14ac:dyDescent="0.2">
      <c r="A35" s="9"/>
      <c r="B35" s="6"/>
      <c r="C35" s="33"/>
      <c r="D35" s="34"/>
      <c r="E35" s="33"/>
      <c r="F35" s="33"/>
      <c r="G35" s="35"/>
      <c r="H35" s="39"/>
      <c r="I35" s="37"/>
      <c r="J35" s="38">
        <f>SUM(H35:I35)*J$11</f>
        <v>0</v>
      </c>
      <c r="K35" s="39"/>
      <c r="L35" s="37">
        <f>K35*L$11</f>
        <v>0</v>
      </c>
      <c r="M35" s="38">
        <f>SUM(K35:L35)*M$11</f>
        <v>0</v>
      </c>
      <c r="N35" s="10"/>
      <c r="O35" s="10"/>
      <c r="P35" s="10"/>
      <c r="Q35" s="10"/>
      <c r="R35" s="10"/>
      <c r="S35" s="10"/>
    </row>
    <row r="36" spans="1:19" s="40" customFormat="1" x14ac:dyDescent="0.2">
      <c r="A36" s="9"/>
      <c r="B36" s="6"/>
      <c r="C36" s="33"/>
      <c r="D36" s="34"/>
      <c r="E36" s="33"/>
      <c r="F36" s="33"/>
      <c r="G36" s="35"/>
      <c r="H36" s="39"/>
      <c r="I36" s="37"/>
      <c r="J36" s="38">
        <f>SUM(H36:I36)*J$11</f>
        <v>0</v>
      </c>
      <c r="K36" s="39"/>
      <c r="L36" s="37">
        <f>K36*L$11</f>
        <v>0</v>
      </c>
      <c r="M36" s="38">
        <f>SUM(K36:L36)*M$11</f>
        <v>0</v>
      </c>
      <c r="N36" s="10"/>
      <c r="O36" s="10"/>
      <c r="P36" s="10"/>
      <c r="Q36" s="10"/>
      <c r="R36" s="10"/>
      <c r="S36" s="10"/>
    </row>
    <row r="37" spans="1:19" s="15" customFormat="1" x14ac:dyDescent="0.2">
      <c r="A37" s="7"/>
      <c r="B37" s="1" t="e">
        <f>B12</f>
        <v>#REF!</v>
      </c>
      <c r="C37" s="2"/>
      <c r="D37" s="1"/>
      <c r="E37" s="2" t="s">
        <v>103</v>
      </c>
      <c r="F37" s="2"/>
      <c r="G37" s="31"/>
      <c r="H37" s="3">
        <f t="shared" ref="H37:M37" si="9">SUM(H38:H39)</f>
        <v>0</v>
      </c>
      <c r="I37" s="4">
        <f t="shared" si="9"/>
        <v>0</v>
      </c>
      <c r="J37" s="5">
        <f t="shared" si="9"/>
        <v>0</v>
      </c>
      <c r="K37" s="3">
        <f t="shared" si="9"/>
        <v>0</v>
      </c>
      <c r="L37" s="4">
        <f t="shared" si="9"/>
        <v>0</v>
      </c>
      <c r="M37" s="5">
        <f t="shared" si="9"/>
        <v>0</v>
      </c>
      <c r="N37" s="10"/>
      <c r="O37" s="10"/>
      <c r="P37" s="10"/>
      <c r="Q37" s="10"/>
      <c r="R37" s="10"/>
      <c r="S37" s="10"/>
    </row>
    <row r="38" spans="1:19" s="43" customFormat="1" x14ac:dyDescent="0.2">
      <c r="A38" s="9"/>
      <c r="B38" s="6"/>
      <c r="C38" s="33"/>
      <c r="D38" s="34"/>
      <c r="E38" s="41" t="s">
        <v>117</v>
      </c>
      <c r="F38" s="33"/>
      <c r="G38" s="35"/>
      <c r="H38" s="39">
        <f>F38</f>
        <v>0</v>
      </c>
      <c r="I38" s="42"/>
      <c r="J38" s="38">
        <f>H38</f>
        <v>0</v>
      </c>
      <c r="K38" s="39"/>
      <c r="L38" s="42"/>
      <c r="M38" s="38">
        <f>SUM(K38:L38)*M$11</f>
        <v>0</v>
      </c>
      <c r="N38" s="10"/>
      <c r="O38" s="10"/>
      <c r="P38" s="10"/>
      <c r="Q38" s="10"/>
      <c r="R38" s="10"/>
      <c r="S38" s="10"/>
    </row>
    <row r="39" spans="1:19" s="43" customFormat="1" ht="13.5" thickBot="1" x14ac:dyDescent="0.25">
      <c r="A39" s="28"/>
      <c r="B39" s="29"/>
      <c r="C39" s="44"/>
      <c r="D39" s="45"/>
      <c r="E39" s="45"/>
      <c r="F39" s="44"/>
      <c r="G39" s="46"/>
      <c r="H39" s="39">
        <f>F39</f>
        <v>0</v>
      </c>
      <c r="I39" s="48"/>
      <c r="J39" s="49">
        <f>H39</f>
        <v>0</v>
      </c>
      <c r="K39" s="47"/>
      <c r="L39" s="48"/>
      <c r="M39" s="49">
        <f>SUM(K39:L39)*M$11</f>
        <v>0</v>
      </c>
      <c r="N39" s="10"/>
      <c r="O39" s="10"/>
      <c r="P39" s="10"/>
      <c r="Q39" s="10"/>
      <c r="R39" s="10"/>
      <c r="S39" s="10"/>
    </row>
    <row r="40" spans="1:19" s="15" customFormat="1" ht="18.75" customHeight="1" thickBot="1" x14ac:dyDescent="0.25">
      <c r="A40" s="12"/>
      <c r="B40" s="12"/>
      <c r="C40" s="12"/>
      <c r="D40" s="12"/>
      <c r="E40" s="297" t="s">
        <v>59</v>
      </c>
      <c r="F40" s="298"/>
      <c r="G40" s="298"/>
      <c r="H40" s="111">
        <f t="shared" ref="H40:M40" si="10">H12+H20+H27+H33+H37</f>
        <v>0</v>
      </c>
      <c r="I40" s="111">
        <f t="shared" si="10"/>
        <v>0</v>
      </c>
      <c r="J40" s="111">
        <f t="shared" si="10"/>
        <v>0</v>
      </c>
      <c r="K40" s="111" t="e">
        <f t="shared" si="10"/>
        <v>#REF!</v>
      </c>
      <c r="L40" s="111" t="e">
        <f t="shared" si="10"/>
        <v>#REF!</v>
      </c>
      <c r="M40" s="111" t="e">
        <f t="shared" si="10"/>
        <v>#REF!</v>
      </c>
      <c r="N40" s="10"/>
      <c r="O40" s="10"/>
      <c r="P40" s="10"/>
      <c r="Q40" s="10"/>
      <c r="R40" s="10"/>
      <c r="S40" s="10"/>
    </row>
    <row r="41" spans="1:19" ht="13.5" thickBot="1" x14ac:dyDescent="0.25">
      <c r="H41" s="280">
        <f>SUM(H40:I40)</f>
        <v>0</v>
      </c>
      <c r="I41" s="281"/>
      <c r="K41" s="295" t="e">
        <f>SUM(K40:L40)</f>
        <v>#REF!</v>
      </c>
      <c r="L41" s="296"/>
    </row>
  </sheetData>
  <mergeCells count="20">
    <mergeCell ref="K8:M8"/>
    <mergeCell ref="A3:E3"/>
    <mergeCell ref="A4:E4"/>
    <mergeCell ref="A5:E5"/>
    <mergeCell ref="A6:B6"/>
    <mergeCell ref="H8:J8"/>
    <mergeCell ref="M9:M10"/>
    <mergeCell ref="A10:A11"/>
    <mergeCell ref="B10:B11"/>
    <mergeCell ref="C10:C11"/>
    <mergeCell ref="D10:D11"/>
    <mergeCell ref="E10:E11"/>
    <mergeCell ref="F10:F11"/>
    <mergeCell ref="K41:L41"/>
    <mergeCell ref="H9:I9"/>
    <mergeCell ref="J9:J10"/>
    <mergeCell ref="K9:L9"/>
    <mergeCell ref="G10:G11"/>
    <mergeCell ref="E40:G40"/>
    <mergeCell ref="H41:I41"/>
  </mergeCells>
  <pageMargins left="0.7" right="0.7" top="0.75" bottom="0.75" header="0.3" footer="0.3"/>
  <pageSetup paperSize="9" scale="50" orientation="portrait" r:id="rId1"/>
  <colBreaks count="1" manualBreakCount="1">
    <brk id="14" max="41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4"/>
  <sheetViews>
    <sheetView zoomScale="75" zoomScaleNormal="150" zoomScalePageLayoutView="150" workbookViewId="0">
      <pane ySplit="10" topLeftCell="A11" activePane="bottomLeft" state="frozen"/>
      <selection activeCell="D5" sqref="D5"/>
      <selection pane="bottomLeft" activeCell="G28" sqref="G28"/>
    </sheetView>
  </sheetViews>
  <sheetFormatPr defaultColWidth="11.42578125" defaultRowHeight="12.75" x14ac:dyDescent="0.2"/>
  <cols>
    <col min="1" max="1" width="9.42578125" style="12" customWidth="1"/>
    <col min="2" max="2" width="7.42578125" style="12" customWidth="1"/>
    <col min="3" max="3" width="9" style="12" customWidth="1"/>
    <col min="4" max="4" width="7.42578125" style="12" customWidth="1"/>
    <col min="5" max="5" width="31.42578125" style="12" bestFit="1" customWidth="1"/>
    <col min="6" max="6" width="6.7109375" style="12" customWidth="1"/>
    <col min="7" max="7" width="6.42578125" style="12" bestFit="1" customWidth="1"/>
    <col min="8" max="10" width="14.85546875" style="12" customWidth="1"/>
    <col min="11" max="16384" width="11.42578125" style="10"/>
  </cols>
  <sheetData>
    <row r="1" spans="1:10" x14ac:dyDescent="0.2">
      <c r="A1" s="10"/>
      <c r="B1" s="10"/>
      <c r="C1" s="10"/>
      <c r="D1" s="10"/>
      <c r="E1" s="10"/>
    </row>
    <row r="2" spans="1:10" x14ac:dyDescent="0.2">
      <c r="A2" s="293" t="e">
        <f>#REF!</f>
        <v>#REF!</v>
      </c>
      <c r="B2" s="293"/>
      <c r="C2" s="293"/>
      <c r="D2" s="293"/>
      <c r="E2" s="293"/>
    </row>
    <row r="3" spans="1:10" x14ac:dyDescent="0.2">
      <c r="A3" s="293" t="s">
        <v>8</v>
      </c>
      <c r="B3" s="293"/>
      <c r="C3" s="293"/>
      <c r="D3" s="293"/>
      <c r="E3" s="293"/>
      <c r="H3" s="236"/>
      <c r="I3" s="223"/>
    </row>
    <row r="4" spans="1:10" x14ac:dyDescent="0.2">
      <c r="A4" s="293" t="e">
        <f>#REF!</f>
        <v>#REF!</v>
      </c>
      <c r="B4" s="293"/>
      <c r="C4" s="293"/>
      <c r="D4" s="293"/>
      <c r="E4" s="293"/>
      <c r="H4" s="223"/>
      <c r="I4" s="223"/>
    </row>
    <row r="5" spans="1:10" x14ac:dyDescent="0.2">
      <c r="A5" s="293" t="s">
        <v>104</v>
      </c>
      <c r="B5" s="293"/>
      <c r="C5" s="237" t="e">
        <f>#REF!</f>
        <v>#REF!</v>
      </c>
      <c r="D5" s="237" t="s">
        <v>105</v>
      </c>
      <c r="E5" s="237"/>
      <c r="H5" s="223"/>
      <c r="I5" s="223"/>
    </row>
    <row r="6" spans="1:10" ht="13.5" thickBot="1" x14ac:dyDescent="0.25">
      <c r="A6" s="240" t="s">
        <v>10</v>
      </c>
      <c r="B6" s="241" t="e">
        <f>#REF!</f>
        <v>#REF!</v>
      </c>
      <c r="C6" s="241" t="e">
        <f>#REF!</f>
        <v>#REF!</v>
      </c>
      <c r="D6" s="241" t="e">
        <f>#REF!</f>
        <v>#REF!</v>
      </c>
      <c r="E6" s="10"/>
      <c r="H6" s="223"/>
    </row>
    <row r="7" spans="1:10" s="13" customFormat="1" ht="38.25" customHeight="1" x14ac:dyDescent="0.2">
      <c r="H7" s="275" t="s">
        <v>33</v>
      </c>
      <c r="I7" s="276"/>
      <c r="J7" s="277"/>
    </row>
    <row r="8" spans="1:10" s="13" customFormat="1" ht="12.75" customHeight="1" thickBot="1" x14ac:dyDescent="0.25">
      <c r="D8" s="222"/>
      <c r="H8" s="278" t="s">
        <v>56</v>
      </c>
      <c r="I8" s="279"/>
      <c r="J8" s="283" t="s">
        <v>5</v>
      </c>
    </row>
    <row r="9" spans="1:10" s="14" customFormat="1" ht="45" customHeight="1" x14ac:dyDescent="0.2">
      <c r="A9" s="299" t="s">
        <v>88</v>
      </c>
      <c r="B9" s="285" t="s">
        <v>2</v>
      </c>
      <c r="C9" s="285" t="s">
        <v>3</v>
      </c>
      <c r="D9" s="301"/>
      <c r="E9" s="285" t="s">
        <v>58</v>
      </c>
      <c r="F9" s="285" t="s">
        <v>107</v>
      </c>
      <c r="G9" s="289" t="s">
        <v>39</v>
      </c>
      <c r="H9" s="18" t="s">
        <v>55</v>
      </c>
      <c r="I9" s="8" t="s">
        <v>7</v>
      </c>
      <c r="J9" s="283"/>
    </row>
    <row r="10" spans="1:10" s="14" customFormat="1" ht="42" customHeight="1" thickBot="1" x14ac:dyDescent="0.25">
      <c r="A10" s="300"/>
      <c r="B10" s="286"/>
      <c r="C10" s="286"/>
      <c r="D10" s="302"/>
      <c r="E10" s="286"/>
      <c r="F10" s="286"/>
      <c r="G10" s="290"/>
      <c r="H10" s="17"/>
      <c r="I10" s="11">
        <v>0.25</v>
      </c>
      <c r="J10" s="16">
        <v>1</v>
      </c>
    </row>
    <row r="11" spans="1:10" s="15" customFormat="1" ht="27" customHeight="1" x14ac:dyDescent="0.2">
      <c r="A11" s="22"/>
      <c r="B11" s="23" t="e">
        <f>D6</f>
        <v>#REF!</v>
      </c>
      <c r="C11" s="24"/>
      <c r="D11" s="23"/>
      <c r="E11" s="24" t="s">
        <v>61</v>
      </c>
      <c r="F11" s="24"/>
      <c r="G11" s="243" t="e">
        <f t="shared" ref="G11:J11" si="0">SUM(G12:G14)</f>
        <v>#REF!</v>
      </c>
      <c r="H11" s="25" t="e">
        <f t="shared" si="0"/>
        <v>#REF!</v>
      </c>
      <c r="I11" s="25" t="e">
        <f t="shared" si="0"/>
        <v>#REF!</v>
      </c>
      <c r="J11" s="25" t="e">
        <f t="shared" si="0"/>
        <v>#REF!</v>
      </c>
    </row>
    <row r="12" spans="1:10" s="40" customFormat="1" x14ac:dyDescent="0.2">
      <c r="A12" s="9"/>
      <c r="B12" s="6"/>
      <c r="C12" s="33" t="s">
        <v>1</v>
      </c>
      <c r="D12" s="34"/>
      <c r="E12" s="33" t="s">
        <v>108</v>
      </c>
      <c r="F12" s="33" t="e">
        <f>#REF!</f>
        <v>#REF!</v>
      </c>
      <c r="G12" s="244" t="e">
        <f>#REF!</f>
        <v>#REF!</v>
      </c>
      <c r="H12" s="36" t="e">
        <f>F12*G12</f>
        <v>#REF!</v>
      </c>
      <c r="I12" s="37" t="e">
        <f>H12*I$10</f>
        <v>#REF!</v>
      </c>
      <c r="J12" s="38" t="e">
        <f>SUM(H12:I12)*J$10</f>
        <v>#REF!</v>
      </c>
    </row>
    <row r="13" spans="1:10" s="40" customFormat="1" x14ac:dyDescent="0.2">
      <c r="A13" s="9"/>
      <c r="B13" s="6"/>
      <c r="C13" s="33" t="s">
        <v>1</v>
      </c>
      <c r="D13" s="34"/>
      <c r="E13" s="33" t="s">
        <v>109</v>
      </c>
      <c r="F13" s="33" t="e">
        <f>#REF!</f>
        <v>#REF!</v>
      </c>
      <c r="G13" s="244" t="e">
        <f>#REF!</f>
        <v>#REF!</v>
      </c>
      <c r="H13" s="36" t="e">
        <f>F13*G13</f>
        <v>#REF!</v>
      </c>
      <c r="I13" s="37" t="e">
        <f>H13*I$10</f>
        <v>#REF!</v>
      </c>
      <c r="J13" s="38" t="e">
        <f>SUM(H13:I13)*J$10</f>
        <v>#REF!</v>
      </c>
    </row>
    <row r="14" spans="1:10" s="40" customFormat="1" x14ac:dyDescent="0.2">
      <c r="A14" s="9"/>
      <c r="B14" s="6"/>
      <c r="C14" s="33" t="s">
        <v>1</v>
      </c>
      <c r="D14" s="34"/>
      <c r="E14" s="33"/>
      <c r="F14" s="33"/>
      <c r="G14" s="35"/>
      <c r="H14" s="36">
        <f>F14*G14</f>
        <v>0</v>
      </c>
      <c r="I14" s="37">
        <f>H14*I$10</f>
        <v>0</v>
      </c>
      <c r="J14" s="38">
        <f>SUM(H14:I14)*J$10</f>
        <v>0</v>
      </c>
    </row>
    <row r="15" spans="1:10" s="15" customFormat="1" ht="25.5" x14ac:dyDescent="0.2">
      <c r="A15" s="7"/>
      <c r="B15" s="1" t="e">
        <f>B11</f>
        <v>#REF!</v>
      </c>
      <c r="C15" s="2"/>
      <c r="D15" s="1"/>
      <c r="E15" s="2" t="s">
        <v>6</v>
      </c>
      <c r="F15" s="2" t="s">
        <v>106</v>
      </c>
      <c r="G15" s="30"/>
      <c r="H15" s="3" t="e">
        <f t="shared" ref="H15:J15" si="1">SUM(H16:H20)</f>
        <v>#REF!</v>
      </c>
      <c r="I15" s="3" t="e">
        <f t="shared" si="1"/>
        <v>#REF!</v>
      </c>
      <c r="J15" s="3" t="e">
        <f t="shared" si="1"/>
        <v>#REF!</v>
      </c>
    </row>
    <row r="16" spans="1:10" s="40" customFormat="1" x14ac:dyDescent="0.2">
      <c r="A16" s="9"/>
      <c r="B16" s="6"/>
      <c r="C16" s="33" t="s">
        <v>1</v>
      </c>
      <c r="D16" s="34"/>
      <c r="E16" s="41" t="e">
        <f>#REF!</f>
        <v>#REF!</v>
      </c>
      <c r="F16" s="41" t="e">
        <f>#REF!</f>
        <v>#REF!</v>
      </c>
      <c r="G16" s="41"/>
      <c r="H16" s="39" t="e">
        <f>F16*G16</f>
        <v>#REF!</v>
      </c>
      <c r="I16" s="37" t="e">
        <f>H16*I$10</f>
        <v>#REF!</v>
      </c>
      <c r="J16" s="38" t="e">
        <f>SUM(H16:I16)*J$10</f>
        <v>#REF!</v>
      </c>
    </row>
    <row r="17" spans="1:10" s="40" customFormat="1" x14ac:dyDescent="0.2">
      <c r="A17" s="9"/>
      <c r="B17" s="6"/>
      <c r="C17" s="33" t="s">
        <v>1</v>
      </c>
      <c r="D17" s="34"/>
      <c r="E17" s="41" t="e">
        <f>#REF!</f>
        <v>#REF!</v>
      </c>
      <c r="F17" s="41" t="e">
        <f>#REF!</f>
        <v>#REF!</v>
      </c>
      <c r="G17" s="41"/>
      <c r="H17" s="39" t="e">
        <f>F17*G17</f>
        <v>#REF!</v>
      </c>
      <c r="I17" s="37" t="e">
        <f>H17*I$10</f>
        <v>#REF!</v>
      </c>
      <c r="J17" s="38" t="e">
        <f>SUM(H17:I17)*J$10</f>
        <v>#REF!</v>
      </c>
    </row>
    <row r="18" spans="1:10" s="40" customFormat="1" x14ac:dyDescent="0.2">
      <c r="A18" s="9"/>
      <c r="B18" s="6"/>
      <c r="C18" s="33" t="s">
        <v>1</v>
      </c>
      <c r="D18" s="34"/>
      <c r="E18" s="41" t="e">
        <f>#REF!</f>
        <v>#REF!</v>
      </c>
      <c r="F18" s="41" t="e">
        <f>#REF!</f>
        <v>#REF!</v>
      </c>
      <c r="G18" s="41"/>
      <c r="H18" s="39" t="e">
        <f>F18*G18</f>
        <v>#REF!</v>
      </c>
      <c r="I18" s="37" t="e">
        <f>H18*I$10</f>
        <v>#REF!</v>
      </c>
      <c r="J18" s="38" t="e">
        <f>SUM(H18:I18)*J$10</f>
        <v>#REF!</v>
      </c>
    </row>
    <row r="19" spans="1:10" s="40" customFormat="1" x14ac:dyDescent="0.2">
      <c r="A19" s="9"/>
      <c r="B19" s="6"/>
      <c r="C19" s="33" t="s">
        <v>1</v>
      </c>
      <c r="D19" s="34"/>
      <c r="E19" s="41" t="e">
        <f>#REF!</f>
        <v>#REF!</v>
      </c>
      <c r="F19" s="41" t="e">
        <f>#REF!</f>
        <v>#REF!</v>
      </c>
      <c r="G19" s="41" t="e">
        <f>#REF!</f>
        <v>#REF!</v>
      </c>
      <c r="H19" s="39" t="e">
        <f>F19*G19</f>
        <v>#REF!</v>
      </c>
      <c r="I19" s="37" t="e">
        <f>H19*I$10</f>
        <v>#REF!</v>
      </c>
      <c r="J19" s="38" t="e">
        <f>SUM(H19:I19)*J$10</f>
        <v>#REF!</v>
      </c>
    </row>
    <row r="20" spans="1:10" s="40" customFormat="1" x14ac:dyDescent="0.2">
      <c r="A20" s="9"/>
      <c r="B20" s="6"/>
      <c r="C20" s="33" t="s">
        <v>1</v>
      </c>
      <c r="D20" s="34"/>
      <c r="E20" s="41" t="e">
        <f>#REF!</f>
        <v>#REF!</v>
      </c>
      <c r="F20" s="41" t="e">
        <f>#REF!</f>
        <v>#REF!</v>
      </c>
      <c r="G20" s="41" t="e">
        <f>#REF!</f>
        <v>#REF!</v>
      </c>
      <c r="H20" s="39" t="e">
        <f>F20*G20</f>
        <v>#REF!</v>
      </c>
      <c r="I20" s="37" t="e">
        <f>H20*I$10</f>
        <v>#REF!</v>
      </c>
      <c r="J20" s="38" t="e">
        <f>SUM(H20:I20)*J$10</f>
        <v>#REF!</v>
      </c>
    </row>
    <row r="21" spans="1:10" s="15" customFormat="1" x14ac:dyDescent="0.2">
      <c r="A21" s="7"/>
      <c r="B21" s="1" t="e">
        <f>B11</f>
        <v>#REF!</v>
      </c>
      <c r="C21" s="2"/>
      <c r="D21" s="1"/>
      <c r="E21" s="2" t="s">
        <v>62</v>
      </c>
      <c r="F21" s="2"/>
      <c r="G21" s="31"/>
      <c r="H21" s="3" t="e">
        <f t="shared" ref="H21:J21" si="2">SUM(H22:H27)</f>
        <v>#REF!</v>
      </c>
      <c r="I21" s="4" t="e">
        <f t="shared" si="2"/>
        <v>#REF!</v>
      </c>
      <c r="J21" s="5" t="e">
        <f t="shared" si="2"/>
        <v>#REF!</v>
      </c>
    </row>
    <row r="22" spans="1:10" s="40" customFormat="1" ht="14.25" customHeight="1" x14ac:dyDescent="0.2">
      <c r="A22" s="9"/>
      <c r="B22" s="6"/>
      <c r="C22" s="33" t="s">
        <v>1</v>
      </c>
      <c r="D22" s="235"/>
      <c r="E22" s="41" t="e">
        <f>#REF!</f>
        <v>#REF!</v>
      </c>
      <c r="F22" s="41" t="e">
        <f>#REF!</f>
        <v>#REF!</v>
      </c>
      <c r="G22" s="41"/>
      <c r="H22" s="39" t="e">
        <f t="shared" ref="H22:H27" si="3">F22*G22</f>
        <v>#REF!</v>
      </c>
      <c r="I22" s="37" t="e">
        <f t="shared" ref="I22:I27" si="4">H22*I$10</f>
        <v>#REF!</v>
      </c>
      <c r="J22" s="38" t="e">
        <f t="shared" ref="J22:J27" si="5">SUM(H22:I22)*J$10</f>
        <v>#REF!</v>
      </c>
    </row>
    <row r="23" spans="1:10" s="40" customFormat="1" x14ac:dyDescent="0.2">
      <c r="A23" s="9"/>
      <c r="B23" s="6"/>
      <c r="C23" s="33" t="s">
        <v>1</v>
      </c>
      <c r="D23" s="34"/>
      <c r="E23" s="41" t="e">
        <f>#REF!</f>
        <v>#REF!</v>
      </c>
      <c r="F23" s="41" t="e">
        <f>#REF!</f>
        <v>#REF!</v>
      </c>
      <c r="G23" s="41" t="e">
        <f>#REF!</f>
        <v>#REF!</v>
      </c>
      <c r="H23" s="39" t="e">
        <f t="shared" si="3"/>
        <v>#REF!</v>
      </c>
      <c r="I23" s="37" t="e">
        <f t="shared" si="4"/>
        <v>#REF!</v>
      </c>
      <c r="J23" s="38" t="e">
        <f t="shared" si="5"/>
        <v>#REF!</v>
      </c>
    </row>
    <row r="24" spans="1:10" s="40" customFormat="1" x14ac:dyDescent="0.2">
      <c r="A24" s="9"/>
      <c r="B24" s="6"/>
      <c r="C24" s="33" t="s">
        <v>1</v>
      </c>
      <c r="D24" s="34"/>
      <c r="E24" s="41" t="e">
        <f>#REF!</f>
        <v>#REF!</v>
      </c>
      <c r="F24" s="41" t="e">
        <f>#REF!</f>
        <v>#REF!</v>
      </c>
      <c r="G24" s="41" t="e">
        <f>#REF!</f>
        <v>#REF!</v>
      </c>
      <c r="H24" s="39" t="e">
        <f t="shared" si="3"/>
        <v>#REF!</v>
      </c>
      <c r="I24" s="37" t="e">
        <f t="shared" si="4"/>
        <v>#REF!</v>
      </c>
      <c r="J24" s="38" t="e">
        <f t="shared" si="5"/>
        <v>#REF!</v>
      </c>
    </row>
    <row r="25" spans="1:10" s="40" customFormat="1" ht="14.25" customHeight="1" x14ac:dyDescent="0.2">
      <c r="A25" s="9"/>
      <c r="B25" s="6"/>
      <c r="C25" s="33" t="s">
        <v>1</v>
      </c>
      <c r="D25" s="235"/>
      <c r="E25" s="41" t="e">
        <f>#REF!</f>
        <v>#REF!</v>
      </c>
      <c r="F25" s="41" t="e">
        <f>#REF!</f>
        <v>#REF!</v>
      </c>
      <c r="G25" s="41" t="e">
        <f>#REF!</f>
        <v>#REF!</v>
      </c>
      <c r="H25" s="39" t="e">
        <f t="shared" si="3"/>
        <v>#REF!</v>
      </c>
      <c r="I25" s="37" t="e">
        <f t="shared" si="4"/>
        <v>#REF!</v>
      </c>
      <c r="J25" s="38" t="e">
        <f t="shared" si="5"/>
        <v>#REF!</v>
      </c>
    </row>
    <row r="26" spans="1:10" s="40" customFormat="1" x14ac:dyDescent="0.2">
      <c r="A26" s="9"/>
      <c r="B26" s="6"/>
      <c r="C26" s="33" t="s">
        <v>1</v>
      </c>
      <c r="D26" s="34"/>
      <c r="E26" s="41" t="e">
        <f>#REF!</f>
        <v>#REF!</v>
      </c>
      <c r="F26" s="41" t="e">
        <f>#REF!</f>
        <v>#REF!</v>
      </c>
      <c r="G26" s="41" t="e">
        <f>#REF!</f>
        <v>#REF!</v>
      </c>
      <c r="H26" s="39" t="e">
        <f t="shared" si="3"/>
        <v>#REF!</v>
      </c>
      <c r="I26" s="37" t="e">
        <f t="shared" si="4"/>
        <v>#REF!</v>
      </c>
      <c r="J26" s="38" t="e">
        <f t="shared" si="5"/>
        <v>#REF!</v>
      </c>
    </row>
    <row r="27" spans="1:10" s="40" customFormat="1" ht="14.25" customHeight="1" x14ac:dyDescent="0.2">
      <c r="A27" s="9"/>
      <c r="B27" s="6"/>
      <c r="C27" s="33" t="s">
        <v>1</v>
      </c>
      <c r="D27" s="235"/>
      <c r="E27" s="41" t="e">
        <f>#REF!</f>
        <v>#REF!</v>
      </c>
      <c r="F27" s="41" t="e">
        <f>#REF!</f>
        <v>#REF!</v>
      </c>
      <c r="G27" s="41" t="e">
        <f>#REF!</f>
        <v>#REF!</v>
      </c>
      <c r="H27" s="39" t="e">
        <f t="shared" si="3"/>
        <v>#REF!</v>
      </c>
      <c r="I27" s="37" t="e">
        <f t="shared" si="4"/>
        <v>#REF!</v>
      </c>
      <c r="J27" s="38" t="e">
        <f t="shared" si="5"/>
        <v>#REF!</v>
      </c>
    </row>
    <row r="28" spans="1:10" s="15" customFormat="1" x14ac:dyDescent="0.2">
      <c r="A28" s="7"/>
      <c r="B28" s="1" t="e">
        <f>B11</f>
        <v>#REF!</v>
      </c>
      <c r="C28" s="2"/>
      <c r="D28" s="1"/>
      <c r="E28" s="2" t="s">
        <v>103</v>
      </c>
      <c r="F28" s="2"/>
      <c r="G28" s="31"/>
      <c r="H28" s="3">
        <f t="shared" ref="H28:J28" si="6">SUM(H29:H31)</f>
        <v>0</v>
      </c>
      <c r="I28" s="4">
        <f t="shared" si="6"/>
        <v>0</v>
      </c>
      <c r="J28" s="5">
        <f t="shared" si="6"/>
        <v>0</v>
      </c>
    </row>
    <row r="29" spans="1:10" s="43" customFormat="1" x14ac:dyDescent="0.2">
      <c r="A29" s="9"/>
      <c r="B29" s="6"/>
      <c r="C29" s="33" t="s">
        <v>1</v>
      </c>
      <c r="D29" s="34"/>
      <c r="E29" s="41" t="e">
        <f>#REF!</f>
        <v>#REF!</v>
      </c>
      <c r="F29" s="41" t="e">
        <f>#REF!</f>
        <v>#REF!</v>
      </c>
      <c r="G29" s="41" t="e">
        <f>#REF!</f>
        <v>#REF!</v>
      </c>
      <c r="H29" s="39"/>
      <c r="I29" s="42"/>
      <c r="J29" s="38"/>
    </row>
    <row r="30" spans="1:10" s="43" customFormat="1" x14ac:dyDescent="0.2">
      <c r="A30" s="9"/>
      <c r="B30" s="6"/>
      <c r="C30" s="33" t="s">
        <v>1</v>
      </c>
      <c r="D30" s="34"/>
      <c r="E30" s="41" t="e">
        <f>#REF!</f>
        <v>#REF!</v>
      </c>
      <c r="F30" s="41" t="e">
        <f>#REF!</f>
        <v>#REF!</v>
      </c>
      <c r="G30" s="41" t="e">
        <f>#REF!</f>
        <v>#REF!</v>
      </c>
      <c r="H30" s="39"/>
      <c r="I30" s="42"/>
      <c r="J30" s="38">
        <f>SUM(H30:I30)*J$10</f>
        <v>0</v>
      </c>
    </row>
    <row r="31" spans="1:10" s="43" customFormat="1" ht="13.5" thickBot="1" x14ac:dyDescent="0.25">
      <c r="A31" s="28"/>
      <c r="B31" s="29"/>
      <c r="C31" s="44" t="s">
        <v>1</v>
      </c>
      <c r="D31" s="45"/>
      <c r="E31" s="41" t="e">
        <f>#REF!</f>
        <v>#REF!</v>
      </c>
      <c r="F31" s="41" t="e">
        <f>#REF!</f>
        <v>#REF!</v>
      </c>
      <c r="G31" s="41" t="e">
        <f>#REF!</f>
        <v>#REF!</v>
      </c>
      <c r="H31" s="47"/>
      <c r="I31" s="48"/>
      <c r="J31" s="49">
        <f>SUM(H31:I31)*J$10</f>
        <v>0</v>
      </c>
    </row>
    <row r="32" spans="1:10" s="15" customFormat="1" ht="18.75" customHeight="1" thickBot="1" x14ac:dyDescent="0.25">
      <c r="A32" s="12"/>
      <c r="B32" s="12"/>
      <c r="C32" s="12"/>
      <c r="D32" s="12"/>
      <c r="E32" s="297" t="s">
        <v>59</v>
      </c>
      <c r="F32" s="298"/>
      <c r="G32" s="298"/>
      <c r="H32" s="19" t="e">
        <f t="shared" ref="H32:J32" si="7">H11+H15+H21+H28</f>
        <v>#REF!</v>
      </c>
      <c r="I32" s="20" t="e">
        <f t="shared" si="7"/>
        <v>#REF!</v>
      </c>
      <c r="J32" s="21" t="e">
        <f t="shared" si="7"/>
        <v>#REF!</v>
      </c>
    </row>
    <row r="33" spans="1:9" ht="13.5" thickBot="1" x14ac:dyDescent="0.25">
      <c r="H33" s="295" t="e">
        <f>SUM(H32:I32)</f>
        <v>#REF!</v>
      </c>
      <c r="I33" s="296"/>
    </row>
    <row r="37" spans="1:9" ht="27" customHeight="1" x14ac:dyDescent="0.2">
      <c r="A37" s="234" t="s">
        <v>110</v>
      </c>
      <c r="B37" s="242" t="str">
        <f>A6</f>
        <v>Partner</v>
      </c>
      <c r="C37" s="242" t="e">
        <f>B6</f>
        <v>#REF!</v>
      </c>
      <c r="D37" s="242" t="e">
        <f>C6</f>
        <v>#REF!</v>
      </c>
      <c r="E37" s="242" t="e">
        <f>D6</f>
        <v>#REF!</v>
      </c>
    </row>
    <row r="38" spans="1:9" ht="25.5" x14ac:dyDescent="0.2">
      <c r="A38" s="238"/>
      <c r="B38" s="238" t="s">
        <v>33</v>
      </c>
      <c r="C38" s="238" t="s">
        <v>36</v>
      </c>
      <c r="D38" s="238" t="s">
        <v>97</v>
      </c>
      <c r="E38" s="238" t="s">
        <v>57</v>
      </c>
    </row>
    <row r="39" spans="1:9" ht="38.25" x14ac:dyDescent="0.2">
      <c r="A39" s="238" t="s">
        <v>98</v>
      </c>
      <c r="B39" s="239" t="e">
        <f>H11</f>
        <v>#REF!</v>
      </c>
      <c r="C39" s="239" t="e">
        <f>#REF!</f>
        <v>#REF!</v>
      </c>
      <c r="D39" s="239" t="e">
        <f>#REF!</f>
        <v>#REF!</v>
      </c>
      <c r="E39" s="239" t="e">
        <f>#REF!</f>
        <v>#REF!</v>
      </c>
    </row>
    <row r="40" spans="1:9" ht="25.5" x14ac:dyDescent="0.2">
      <c r="A40" s="238" t="s">
        <v>103</v>
      </c>
      <c r="B40" s="239">
        <f>H28</f>
        <v>0</v>
      </c>
      <c r="C40" s="239" t="e">
        <f>#REF!</f>
        <v>#REF!</v>
      </c>
      <c r="D40" s="239" t="e">
        <f>#REF!</f>
        <v>#REF!</v>
      </c>
      <c r="E40" s="239" t="e">
        <f>#REF!</f>
        <v>#REF!</v>
      </c>
    </row>
    <row r="41" spans="1:9" ht="51" x14ac:dyDescent="0.2">
      <c r="A41" s="238" t="s">
        <v>99</v>
      </c>
      <c r="B41" s="239" t="e">
        <f>H15+H21</f>
        <v>#REF!</v>
      </c>
      <c r="C41" s="239" t="e">
        <f>#REF!+#REF!</f>
        <v>#REF!</v>
      </c>
      <c r="D41" s="239" t="e">
        <f>#REF!+#REF!</f>
        <v>#REF!</v>
      </c>
      <c r="E41" s="239" t="e">
        <f>#REF!+#REF!</f>
        <v>#REF!</v>
      </c>
    </row>
    <row r="42" spans="1:9" ht="38.25" x14ac:dyDescent="0.2">
      <c r="A42" s="238" t="s">
        <v>100</v>
      </c>
      <c r="B42" s="239" t="e">
        <f>I32</f>
        <v>#REF!</v>
      </c>
      <c r="C42" s="239" t="e">
        <f>#REF!</f>
        <v>#REF!</v>
      </c>
      <c r="D42" s="239" t="e">
        <f>#REF!</f>
        <v>#REF!</v>
      </c>
      <c r="E42" s="239" t="e">
        <f>#REF!</f>
        <v>#REF!</v>
      </c>
    </row>
    <row r="43" spans="1:9" ht="38.25" x14ac:dyDescent="0.2">
      <c r="A43" s="238" t="s">
        <v>101</v>
      </c>
      <c r="B43" s="239" t="e">
        <f>H33</f>
        <v>#REF!</v>
      </c>
      <c r="C43" s="239" t="e">
        <f>#REF!</f>
        <v>#REF!</v>
      </c>
      <c r="D43" s="239" t="e">
        <f>#REF!</f>
        <v>#REF!</v>
      </c>
      <c r="E43" s="239" t="e">
        <f>#REF!</f>
        <v>#REF!</v>
      </c>
    </row>
    <row r="44" spans="1:9" ht="51" x14ac:dyDescent="0.2">
      <c r="A44" s="238" t="s">
        <v>102</v>
      </c>
      <c r="B44" s="239" t="e">
        <f>J32</f>
        <v>#REF!</v>
      </c>
      <c r="C44" s="239" t="e">
        <f>#REF!</f>
        <v>#REF!</v>
      </c>
      <c r="D44" s="239" t="e">
        <f>#REF!</f>
        <v>#REF!</v>
      </c>
      <c r="E44" s="239" t="e">
        <f>#REF!</f>
        <v>#REF!</v>
      </c>
    </row>
  </sheetData>
  <mergeCells count="16">
    <mergeCell ref="H33:I33"/>
    <mergeCell ref="E32:G32"/>
    <mergeCell ref="H7:J7"/>
    <mergeCell ref="A2:E2"/>
    <mergeCell ref="E9:E10"/>
    <mergeCell ref="A3:E3"/>
    <mergeCell ref="F9:F10"/>
    <mergeCell ref="A9:A10"/>
    <mergeCell ref="B9:B10"/>
    <mergeCell ref="A4:E4"/>
    <mergeCell ref="C9:C10"/>
    <mergeCell ref="D9:D10"/>
    <mergeCell ref="A5:B5"/>
    <mergeCell ref="J8:J9"/>
    <mergeCell ref="G9:G10"/>
    <mergeCell ref="H8:I8"/>
  </mergeCells>
  <phoneticPr fontId="0" type="noConversion"/>
  <printOptions horizontalCentered="1" verticalCentered="1"/>
  <pageMargins left="0" right="0" top="0.59055118110236227" bottom="0.59055118110236227" header="0.51181102362204722" footer="0.51181102362204722"/>
  <pageSetup paperSize="9" scale="55" orientation="landscape" r:id="rId1"/>
  <headerFooter alignWithMargins="0">
    <oddHeader>Page &amp;P&amp;RWorking budget mutual recognition- version 2.xls</oddHeader>
    <oddFooter>&amp;L&amp;D&amp;R&amp;A</oddFooter>
  </headerFooter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4"/>
  <sheetViews>
    <sheetView showGridLines="0" topLeftCell="D1" zoomScale="150" workbookViewId="0">
      <selection activeCell="D5" sqref="D5"/>
    </sheetView>
  </sheetViews>
  <sheetFormatPr defaultColWidth="8.85546875" defaultRowHeight="11.25" x14ac:dyDescent="0.2"/>
  <cols>
    <col min="1" max="1" width="7" style="50" customWidth="1"/>
    <col min="2" max="2" width="6.42578125" style="50" customWidth="1"/>
    <col min="3" max="3" width="53.42578125" style="50" customWidth="1"/>
    <col min="4" max="4" width="6.28515625" style="53" customWidth="1"/>
    <col min="5" max="5" width="4.42578125" style="52" customWidth="1"/>
    <col min="6" max="6" width="5" style="52" customWidth="1"/>
    <col min="7" max="7" width="6.140625" style="52" customWidth="1"/>
    <col min="8" max="8" width="6.85546875" style="52" customWidth="1"/>
    <col min="9" max="9" width="10.85546875" style="52" customWidth="1"/>
    <col min="10" max="12" width="8.85546875" style="52"/>
    <col min="13" max="13" width="11.7109375" style="52" customWidth="1"/>
    <col min="14" max="14" width="2.85546875" style="52" customWidth="1"/>
    <col min="15" max="16384" width="8.85546875" style="52"/>
  </cols>
  <sheetData>
    <row r="1" spans="1:14" s="54" customFormat="1" ht="17.25" customHeight="1" x14ac:dyDescent="0.2">
      <c r="A1" s="56"/>
      <c r="B1" s="57"/>
      <c r="C1" s="57"/>
      <c r="D1" s="58"/>
      <c r="E1" s="58" t="s">
        <v>14</v>
      </c>
      <c r="F1" s="58"/>
      <c r="G1" s="58"/>
      <c r="H1" s="58"/>
      <c r="I1" s="58"/>
    </row>
    <row r="2" spans="1:14" s="70" customFormat="1" ht="12.75" x14ac:dyDescent="0.2">
      <c r="A2" s="60"/>
      <c r="B2" s="61"/>
      <c r="C2" s="61" t="s">
        <v>16</v>
      </c>
      <c r="D2" s="62"/>
      <c r="E2" s="63"/>
      <c r="F2" s="63"/>
      <c r="G2" s="63"/>
      <c r="H2" s="63"/>
      <c r="I2" s="63"/>
    </row>
    <row r="3" spans="1:14" s="54" customFormat="1" ht="33" customHeight="1" thickBot="1" x14ac:dyDescent="0.25">
      <c r="A3" s="60" t="s">
        <v>20</v>
      </c>
      <c r="B3" s="71"/>
      <c r="C3" s="71"/>
      <c r="D3" s="72" t="s">
        <v>21</v>
      </c>
      <c r="E3" s="72"/>
      <c r="F3" s="73"/>
      <c r="G3" s="73"/>
      <c r="H3" s="73"/>
      <c r="I3" s="162"/>
    </row>
    <row r="4" spans="1:14" s="77" customFormat="1" ht="24" customHeight="1" thickBot="1" x14ac:dyDescent="0.25">
      <c r="A4" s="74" t="s">
        <v>22</v>
      </c>
      <c r="B4" s="75"/>
      <c r="C4" s="75" t="s">
        <v>63</v>
      </c>
      <c r="D4" s="159">
        <f t="shared" ref="D4:I4" si="0">D30+D33+D36+D42+D46+D58+D65+D71</f>
        <v>0</v>
      </c>
      <c r="E4" s="196">
        <f t="shared" si="0"/>
        <v>0</v>
      </c>
      <c r="F4" s="196">
        <f t="shared" si="0"/>
        <v>0</v>
      </c>
      <c r="G4" s="196">
        <f t="shared" si="0"/>
        <v>0</v>
      </c>
      <c r="H4" s="196">
        <f t="shared" si="0"/>
        <v>0</v>
      </c>
      <c r="I4" s="196">
        <f t="shared" si="0"/>
        <v>0</v>
      </c>
    </row>
    <row r="5" spans="1:14" s="77" customFormat="1" ht="15" customHeight="1" x14ac:dyDescent="0.2">
      <c r="A5" s="187"/>
      <c r="B5" s="188"/>
      <c r="C5" s="189"/>
      <c r="D5" s="190"/>
      <c r="E5" s="190"/>
      <c r="F5" s="190"/>
      <c r="G5" s="190"/>
      <c r="H5" s="190"/>
      <c r="I5" s="191"/>
      <c r="N5" s="77">
        <v>7</v>
      </c>
    </row>
    <row r="6" spans="1:14" s="77" customFormat="1" ht="15" customHeight="1" x14ac:dyDescent="0.2">
      <c r="A6" s="148"/>
      <c r="B6" s="149"/>
      <c r="C6" s="147"/>
      <c r="D6" s="78"/>
      <c r="E6" s="78"/>
      <c r="F6" s="78"/>
      <c r="G6" s="78"/>
      <c r="H6" s="78"/>
      <c r="I6" s="163"/>
    </row>
    <row r="7" spans="1:14" s="77" customFormat="1" ht="15" customHeight="1" x14ac:dyDescent="0.2">
      <c r="A7" s="148"/>
      <c r="B7" s="149"/>
      <c r="C7" s="147"/>
      <c r="D7" s="78"/>
      <c r="E7" s="78"/>
      <c r="F7" s="78"/>
      <c r="G7" s="78"/>
      <c r="H7" s="78"/>
      <c r="I7" s="163"/>
    </row>
    <row r="8" spans="1:14" s="77" customFormat="1" ht="15" customHeight="1" x14ac:dyDescent="0.2">
      <c r="A8" s="148"/>
      <c r="B8" s="149"/>
      <c r="C8" s="147"/>
      <c r="D8" s="78"/>
      <c r="E8" s="78"/>
      <c r="F8" s="78"/>
      <c r="G8" s="78"/>
      <c r="H8" s="78"/>
      <c r="I8" s="163"/>
    </row>
    <row r="9" spans="1:14" s="77" customFormat="1" ht="15" customHeight="1" x14ac:dyDescent="0.2">
      <c r="A9" s="148"/>
      <c r="B9" s="149"/>
      <c r="C9" s="147"/>
      <c r="D9" s="78"/>
      <c r="E9" s="78"/>
      <c r="F9" s="78"/>
      <c r="G9" s="78"/>
      <c r="H9" s="78"/>
      <c r="I9" s="163"/>
    </row>
    <row r="10" spans="1:14" s="77" customFormat="1" ht="15" customHeight="1" x14ac:dyDescent="0.2">
      <c r="A10" s="148"/>
      <c r="B10" s="149"/>
      <c r="C10" s="147"/>
      <c r="D10" s="78"/>
      <c r="E10" s="78"/>
      <c r="F10" s="78"/>
      <c r="G10" s="78"/>
      <c r="H10" s="78"/>
      <c r="I10" s="163"/>
    </row>
    <row r="11" spans="1:14" s="77" customFormat="1" ht="15" customHeight="1" x14ac:dyDescent="0.2">
      <c r="A11" s="148"/>
      <c r="B11" s="149"/>
      <c r="C11" s="147"/>
      <c r="D11" s="78"/>
      <c r="E11" s="78"/>
      <c r="F11" s="78"/>
      <c r="G11" s="78"/>
      <c r="H11" s="78"/>
      <c r="I11" s="163"/>
    </row>
    <row r="12" spans="1:14" s="77" customFormat="1" ht="15" customHeight="1" x14ac:dyDescent="0.2">
      <c r="A12" s="148"/>
      <c r="B12" s="149"/>
      <c r="C12" s="147"/>
      <c r="D12" s="78"/>
      <c r="E12" s="78"/>
      <c r="F12" s="78"/>
      <c r="G12" s="78"/>
      <c r="H12" s="78"/>
      <c r="I12" s="163"/>
    </row>
    <row r="13" spans="1:14" s="77" customFormat="1" ht="15" customHeight="1" x14ac:dyDescent="0.2">
      <c r="A13" s="148"/>
      <c r="B13" s="149"/>
      <c r="C13" s="147"/>
      <c r="D13" s="78"/>
      <c r="E13" s="78"/>
      <c r="F13" s="78"/>
      <c r="G13" s="78"/>
      <c r="H13" s="78"/>
      <c r="I13" s="163"/>
    </row>
    <row r="14" spans="1:14" s="77" customFormat="1" ht="15" customHeight="1" x14ac:dyDescent="0.2">
      <c r="A14" s="187"/>
      <c r="B14" s="188"/>
      <c r="C14" s="189"/>
      <c r="D14" s="190"/>
      <c r="E14" s="190"/>
      <c r="F14" s="190"/>
      <c r="G14" s="190"/>
      <c r="H14" s="190"/>
      <c r="I14" s="191"/>
      <c r="N14" s="77">
        <v>3</v>
      </c>
    </row>
    <row r="15" spans="1:14" s="77" customFormat="1" ht="15.75" customHeight="1" x14ac:dyDescent="0.2">
      <c r="A15" s="150"/>
      <c r="B15" s="151"/>
      <c r="C15" s="152"/>
      <c r="D15" s="79"/>
      <c r="E15" s="79"/>
      <c r="F15" s="79"/>
      <c r="G15" s="79"/>
      <c r="H15" s="79"/>
      <c r="I15" s="164"/>
    </row>
    <row r="16" spans="1:14" s="77" customFormat="1" ht="15.75" customHeight="1" x14ac:dyDescent="0.2">
      <c r="A16" s="148"/>
      <c r="B16" s="149"/>
      <c r="C16" s="147"/>
      <c r="D16" s="156"/>
      <c r="E16" s="156"/>
      <c r="F16" s="156"/>
      <c r="G16" s="156"/>
      <c r="H16" s="156"/>
      <c r="I16" s="165"/>
    </row>
    <row r="17" spans="1:14" s="77" customFormat="1" ht="15.75" customHeight="1" x14ac:dyDescent="0.2">
      <c r="A17" s="148"/>
      <c r="B17" s="149"/>
      <c r="C17" s="147"/>
      <c r="D17" s="156"/>
      <c r="E17" s="156"/>
      <c r="F17" s="156"/>
      <c r="G17" s="156"/>
      <c r="H17" s="156"/>
      <c r="I17" s="165"/>
    </row>
    <row r="18" spans="1:14" s="77" customFormat="1" ht="15.75" customHeight="1" x14ac:dyDescent="0.2">
      <c r="A18" s="148"/>
      <c r="B18" s="149"/>
      <c r="C18" s="147"/>
      <c r="D18" s="156"/>
      <c r="E18" s="156"/>
      <c r="F18" s="156"/>
      <c r="G18" s="156"/>
      <c r="H18" s="156"/>
      <c r="I18" s="165"/>
    </row>
    <row r="19" spans="1:14" s="77" customFormat="1" ht="15.75" customHeight="1" x14ac:dyDescent="0.2">
      <c r="A19" s="187"/>
      <c r="B19" s="188"/>
      <c r="C19" s="189"/>
      <c r="D19" s="192"/>
      <c r="E19" s="192"/>
      <c r="F19" s="192"/>
      <c r="G19" s="192"/>
      <c r="H19" s="192"/>
      <c r="I19" s="193"/>
      <c r="N19" s="77">
        <v>0</v>
      </c>
    </row>
    <row r="20" spans="1:14" s="77" customFormat="1" ht="15.75" customHeight="1" x14ac:dyDescent="0.2">
      <c r="A20" s="148"/>
      <c r="B20" s="149"/>
      <c r="C20" s="147"/>
      <c r="D20" s="156"/>
      <c r="E20" s="156"/>
      <c r="F20" s="156"/>
      <c r="G20" s="156"/>
      <c r="H20" s="156"/>
      <c r="I20" s="165"/>
    </row>
    <row r="21" spans="1:14" s="77" customFormat="1" ht="15.75" customHeight="1" x14ac:dyDescent="0.2">
      <c r="A21" s="187"/>
      <c r="B21" s="188"/>
      <c r="C21" s="189"/>
      <c r="D21" s="192"/>
      <c r="E21" s="192"/>
      <c r="F21" s="192"/>
      <c r="G21" s="192"/>
      <c r="H21" s="192"/>
      <c r="I21" s="193"/>
    </row>
    <row r="22" spans="1:14" s="77" customFormat="1" ht="15.75" customHeight="1" x14ac:dyDescent="0.2">
      <c r="A22" s="148"/>
      <c r="B22" s="149"/>
      <c r="C22" s="147"/>
      <c r="D22" s="156"/>
      <c r="E22" s="156"/>
      <c r="F22" s="156"/>
      <c r="G22" s="156"/>
      <c r="H22" s="156"/>
      <c r="I22" s="165"/>
      <c r="N22" s="77">
        <v>2</v>
      </c>
    </row>
    <row r="23" spans="1:14" s="77" customFormat="1" ht="15.75" customHeight="1" x14ac:dyDescent="0.2">
      <c r="A23" s="148"/>
      <c r="B23" s="149"/>
      <c r="C23" s="147"/>
      <c r="D23" s="156"/>
      <c r="E23" s="156"/>
      <c r="F23" s="156"/>
      <c r="G23" s="156"/>
      <c r="H23" s="156"/>
      <c r="I23" s="165"/>
    </row>
    <row r="24" spans="1:14" s="77" customFormat="1" ht="15.75" customHeight="1" x14ac:dyDescent="0.2">
      <c r="A24" s="187"/>
      <c r="B24" s="188"/>
      <c r="C24" s="194"/>
      <c r="D24" s="192"/>
      <c r="E24" s="192"/>
      <c r="F24" s="192"/>
      <c r="G24" s="192"/>
      <c r="H24" s="192"/>
      <c r="I24" s="193"/>
      <c r="N24" s="77">
        <v>5</v>
      </c>
    </row>
    <row r="25" spans="1:14" s="77" customFormat="1" ht="15.75" customHeight="1" x14ac:dyDescent="0.2">
      <c r="A25" s="148"/>
      <c r="B25" s="149"/>
      <c r="C25" s="147"/>
      <c r="D25" s="156"/>
      <c r="E25" s="156"/>
      <c r="F25" s="156"/>
      <c r="G25" s="156"/>
      <c r="H25" s="156"/>
      <c r="I25" s="165"/>
    </row>
    <row r="26" spans="1:14" s="77" customFormat="1" ht="15.75" customHeight="1" x14ac:dyDescent="0.2">
      <c r="A26" s="148"/>
      <c r="B26" s="149"/>
      <c r="C26" s="147"/>
      <c r="D26" s="156"/>
      <c r="E26" s="156"/>
      <c r="F26" s="156"/>
      <c r="G26" s="156"/>
      <c r="H26" s="156"/>
      <c r="I26" s="165"/>
    </row>
    <row r="27" spans="1:14" s="77" customFormat="1" ht="15.75" customHeight="1" x14ac:dyDescent="0.2">
      <c r="A27" s="148"/>
      <c r="B27" s="149"/>
      <c r="C27" s="147"/>
      <c r="D27" s="156"/>
      <c r="E27" s="156"/>
      <c r="F27" s="156"/>
      <c r="G27" s="156"/>
      <c r="H27" s="156"/>
      <c r="I27" s="165"/>
    </row>
    <row r="28" spans="1:14" s="77" customFormat="1" ht="15.75" customHeight="1" x14ac:dyDescent="0.2">
      <c r="A28" s="148"/>
      <c r="B28" s="149"/>
      <c r="C28" s="147"/>
      <c r="D28" s="156"/>
      <c r="E28" s="156"/>
      <c r="F28" s="156"/>
      <c r="G28" s="156"/>
      <c r="H28" s="156"/>
      <c r="I28" s="165"/>
    </row>
    <row r="29" spans="1:14" s="77" customFormat="1" ht="12.75" customHeight="1" thickBot="1" x14ac:dyDescent="0.25">
      <c r="A29" s="148"/>
      <c r="B29" s="149"/>
      <c r="D29" s="156"/>
      <c r="E29" s="156"/>
      <c r="F29" s="156"/>
      <c r="G29" s="156"/>
      <c r="H29" s="156"/>
      <c r="I29" s="165"/>
    </row>
    <row r="30" spans="1:14" s="54" customFormat="1" ht="21.75" customHeight="1" thickBot="1" x14ac:dyDescent="0.25">
      <c r="A30" s="305" t="s">
        <v>32</v>
      </c>
      <c r="B30" s="306"/>
      <c r="C30" s="307"/>
      <c r="D30" s="180"/>
      <c r="E30" s="181"/>
      <c r="F30" s="181"/>
      <c r="G30" s="181"/>
      <c r="H30" s="181"/>
      <c r="I30" s="182"/>
    </row>
    <row r="31" spans="1:14" s="54" customFormat="1" ht="12" thickBot="1" x14ac:dyDescent="0.25">
      <c r="A31" s="91"/>
      <c r="B31" s="65"/>
      <c r="C31" s="65"/>
      <c r="D31" s="179"/>
      <c r="E31" s="92"/>
      <c r="F31" s="92"/>
      <c r="G31" s="92"/>
      <c r="H31" s="92"/>
      <c r="I31" s="92"/>
    </row>
    <row r="32" spans="1:14" s="54" customFormat="1" ht="12" thickBot="1" x14ac:dyDescent="0.25">
      <c r="A32" s="91"/>
      <c r="B32" s="65"/>
      <c r="C32" s="65"/>
      <c r="D32" s="179"/>
      <c r="E32" s="92"/>
      <c r="F32" s="92"/>
      <c r="G32" s="92"/>
      <c r="H32" s="92"/>
      <c r="I32" s="92"/>
    </row>
    <row r="33" spans="1:9" s="54" customFormat="1" ht="21.75" customHeight="1" thickBot="1" x14ac:dyDescent="0.25">
      <c r="A33" s="305" t="s">
        <v>76</v>
      </c>
      <c r="B33" s="306"/>
      <c r="C33" s="307"/>
      <c r="D33" s="180"/>
      <c r="E33" s="181"/>
      <c r="F33" s="181"/>
      <c r="G33" s="181"/>
      <c r="H33" s="181"/>
      <c r="I33" s="181"/>
    </row>
    <row r="34" spans="1:9" s="54" customFormat="1" ht="12" thickBot="1" x14ac:dyDescent="0.25">
      <c r="A34" s="140"/>
      <c r="B34" s="140"/>
      <c r="C34" s="140"/>
      <c r="D34" s="179"/>
      <c r="E34" s="140"/>
      <c r="F34" s="140"/>
      <c r="G34" s="140"/>
      <c r="H34" s="140"/>
      <c r="I34" s="140"/>
    </row>
    <row r="35" spans="1:9" s="54" customFormat="1" ht="12" thickBot="1" x14ac:dyDescent="0.25">
      <c r="A35" s="176"/>
      <c r="B35" s="177"/>
      <c r="C35" s="177"/>
      <c r="D35" s="179"/>
      <c r="E35" s="178"/>
      <c r="F35" s="178"/>
      <c r="G35" s="178"/>
      <c r="H35" s="178"/>
      <c r="I35" s="178"/>
    </row>
    <row r="36" spans="1:9" s="54" customFormat="1" ht="22.5" customHeight="1" thickBot="1" x14ac:dyDescent="0.25">
      <c r="A36" s="305" t="s">
        <v>77</v>
      </c>
      <c r="B36" s="306"/>
      <c r="C36" s="306"/>
      <c r="D36" s="180"/>
      <c r="E36" s="183"/>
      <c r="F36" s="183"/>
      <c r="G36" s="183"/>
      <c r="H36" s="183"/>
      <c r="I36" s="183"/>
    </row>
    <row r="37" spans="1:9" s="54" customFormat="1" ht="15.75" customHeight="1" thickBot="1" x14ac:dyDescent="0.25">
      <c r="A37" s="91"/>
      <c r="B37" s="65"/>
      <c r="C37" s="65"/>
      <c r="D37" s="179"/>
      <c r="E37" s="92"/>
      <c r="F37" s="92"/>
      <c r="G37" s="92"/>
      <c r="H37" s="92"/>
      <c r="I37" s="92"/>
    </row>
    <row r="38" spans="1:9" s="109" customFormat="1" ht="15.75" customHeight="1" thickBot="1" x14ac:dyDescent="0.25">
      <c r="A38" s="139"/>
      <c r="B38" s="140"/>
      <c r="C38" s="140"/>
      <c r="D38" s="179"/>
      <c r="E38" s="99"/>
      <c r="F38" s="99"/>
      <c r="G38" s="99"/>
      <c r="H38" s="99"/>
      <c r="I38" s="99"/>
    </row>
    <row r="39" spans="1:9" s="109" customFormat="1" ht="15" customHeight="1" thickBot="1" x14ac:dyDescent="0.25">
      <c r="A39" s="139"/>
      <c r="B39" s="140"/>
      <c r="C39" s="140"/>
      <c r="D39" s="179"/>
      <c r="E39" s="99"/>
      <c r="F39" s="99"/>
      <c r="G39" s="99"/>
      <c r="H39" s="99"/>
      <c r="I39" s="99"/>
    </row>
    <row r="40" spans="1:9" s="109" customFormat="1" ht="15.75" customHeight="1" thickBot="1" x14ac:dyDescent="0.25">
      <c r="A40" s="139"/>
      <c r="B40" s="140"/>
      <c r="C40" s="140"/>
      <c r="D40" s="179"/>
      <c r="E40" s="99"/>
      <c r="F40" s="99"/>
      <c r="G40" s="99"/>
      <c r="H40" s="99"/>
      <c r="I40" s="99"/>
    </row>
    <row r="41" spans="1:9" s="109" customFormat="1" ht="18.75" customHeight="1" thickBot="1" x14ac:dyDescent="0.25">
      <c r="A41" s="139"/>
      <c r="B41" s="140"/>
      <c r="C41" s="140"/>
      <c r="D41" s="179"/>
      <c r="E41" s="99"/>
      <c r="F41" s="99"/>
      <c r="G41" s="99"/>
      <c r="H41" s="99"/>
      <c r="I41" s="99"/>
    </row>
    <row r="42" spans="1:9" s="54" customFormat="1" ht="22.5" customHeight="1" thickBot="1" x14ac:dyDescent="0.25">
      <c r="A42" s="101" t="s">
        <v>78</v>
      </c>
      <c r="B42" s="184"/>
      <c r="C42" s="185"/>
      <c r="D42" s="180"/>
      <c r="E42" s="183"/>
      <c r="F42" s="183"/>
      <c r="G42" s="183"/>
      <c r="H42" s="183"/>
      <c r="I42" s="183"/>
    </row>
    <row r="43" spans="1:9" s="109" customFormat="1" ht="17.100000000000001" customHeight="1" thickBot="1" x14ac:dyDescent="0.25">
      <c r="A43" s="143"/>
      <c r="B43" s="144"/>
      <c r="C43" s="144"/>
      <c r="D43" s="179"/>
      <c r="E43" s="87"/>
      <c r="F43" s="87"/>
      <c r="G43" s="87"/>
      <c r="H43" s="87"/>
      <c r="I43" s="87"/>
    </row>
    <row r="44" spans="1:9" s="109" customFormat="1" ht="17.100000000000001" customHeight="1" thickBot="1" x14ac:dyDescent="0.25">
      <c r="A44" s="143"/>
      <c r="B44" s="144"/>
      <c r="C44" s="144"/>
      <c r="D44" s="179"/>
      <c r="E44" s="87"/>
      <c r="F44" s="87"/>
      <c r="G44" s="87"/>
      <c r="H44" s="87"/>
      <c r="I44" s="87"/>
    </row>
    <row r="45" spans="1:9" s="109" customFormat="1" ht="26.25" customHeight="1" thickBot="1" x14ac:dyDescent="0.25">
      <c r="A45" s="139"/>
      <c r="B45" s="308"/>
      <c r="C45" s="308"/>
      <c r="D45" s="179"/>
      <c r="E45" s="99"/>
      <c r="F45" s="99"/>
      <c r="G45" s="99"/>
      <c r="H45" s="99"/>
      <c r="I45" s="99"/>
    </row>
    <row r="46" spans="1:9" s="54" customFormat="1" ht="22.5" customHeight="1" thickBot="1" x14ac:dyDescent="0.25">
      <c r="A46" s="186" t="s">
        <v>79</v>
      </c>
      <c r="B46" s="184"/>
      <c r="C46" s="185"/>
      <c r="D46" s="180"/>
      <c r="E46" s="183"/>
      <c r="F46" s="183"/>
      <c r="G46" s="183"/>
      <c r="H46" s="183"/>
      <c r="I46" s="183"/>
    </row>
    <row r="47" spans="1:9" s="54" customFormat="1" ht="18" customHeight="1" thickBot="1" x14ac:dyDescent="0.25">
      <c r="A47" s="145"/>
      <c r="B47" s="104"/>
      <c r="C47" s="104"/>
      <c r="D47" s="179"/>
      <c r="E47" s="105"/>
      <c r="F47" s="105"/>
      <c r="G47" s="105"/>
      <c r="H47" s="105"/>
      <c r="I47" s="105"/>
    </row>
    <row r="48" spans="1:9" s="109" customFormat="1" ht="24" customHeight="1" thickBot="1" x14ac:dyDescent="0.25">
      <c r="A48" s="172"/>
      <c r="B48" s="303"/>
      <c r="C48" s="304"/>
      <c r="D48" s="179"/>
      <c r="E48" s="87"/>
      <c r="F48" s="87"/>
      <c r="G48" s="87"/>
      <c r="H48" s="87"/>
      <c r="I48" s="87"/>
    </row>
    <row r="49" spans="1:9" s="109" customFormat="1" ht="25.5" customHeight="1" thickBot="1" x14ac:dyDescent="0.25">
      <c r="A49" s="172"/>
      <c r="B49" s="303"/>
      <c r="C49" s="304"/>
      <c r="D49" s="179"/>
      <c r="E49" s="99"/>
      <c r="F49" s="99"/>
      <c r="G49" s="99"/>
      <c r="H49" s="99"/>
      <c r="I49" s="99"/>
    </row>
    <row r="50" spans="1:9" s="109" customFormat="1" ht="18" customHeight="1" thickBot="1" x14ac:dyDescent="0.25">
      <c r="A50" s="173"/>
      <c r="B50" s="303"/>
      <c r="C50" s="304"/>
      <c r="D50" s="179"/>
      <c r="E50" s="87"/>
      <c r="F50" s="87"/>
      <c r="G50" s="87"/>
      <c r="H50" s="87"/>
      <c r="I50" s="87"/>
    </row>
    <row r="51" spans="1:9" s="109" customFormat="1" ht="24" customHeight="1" thickBot="1" x14ac:dyDescent="0.25">
      <c r="A51" s="173"/>
      <c r="B51" s="303"/>
      <c r="C51" s="304"/>
      <c r="D51" s="179"/>
      <c r="E51" s="87"/>
      <c r="F51" s="87"/>
      <c r="G51" s="87"/>
      <c r="H51" s="87"/>
      <c r="I51" s="87"/>
    </row>
    <row r="52" spans="1:9" s="109" customFormat="1" ht="23.25" customHeight="1" thickBot="1" x14ac:dyDescent="0.25">
      <c r="A52" s="173"/>
      <c r="B52" s="303"/>
      <c r="C52" s="304"/>
      <c r="D52" s="179"/>
      <c r="E52" s="87"/>
      <c r="F52" s="87"/>
      <c r="G52" s="87"/>
      <c r="H52" s="87"/>
      <c r="I52" s="87"/>
    </row>
    <row r="53" spans="1:9" s="109" customFormat="1" ht="24" customHeight="1" thickBot="1" x14ac:dyDescent="0.25">
      <c r="A53" s="173"/>
      <c r="B53" s="303"/>
      <c r="C53" s="304"/>
      <c r="D53" s="179"/>
      <c r="E53" s="87"/>
      <c r="F53" s="87"/>
      <c r="G53" s="87"/>
      <c r="H53" s="87"/>
      <c r="I53" s="87"/>
    </row>
    <row r="54" spans="1:9" s="109" customFormat="1" ht="23.25" customHeight="1" thickBot="1" x14ac:dyDescent="0.25">
      <c r="A54" s="172"/>
      <c r="B54" s="303"/>
      <c r="C54" s="304"/>
      <c r="D54" s="179"/>
      <c r="E54" s="99"/>
      <c r="F54" s="99"/>
      <c r="G54" s="99"/>
      <c r="H54" s="99"/>
      <c r="I54" s="99"/>
    </row>
    <row r="55" spans="1:9" s="54" customFormat="1" ht="21.75" customHeight="1" thickBot="1" x14ac:dyDescent="0.25">
      <c r="A55" s="153"/>
      <c r="B55" s="303"/>
      <c r="C55" s="304"/>
      <c r="D55" s="179"/>
      <c r="E55" s="99"/>
      <c r="F55" s="99"/>
      <c r="G55" s="99"/>
      <c r="H55" s="99"/>
      <c r="I55" s="99"/>
    </row>
    <row r="56" spans="1:9" s="54" customFormat="1" ht="21.75" customHeight="1" thickBot="1" x14ac:dyDescent="0.25">
      <c r="A56" s="153"/>
      <c r="B56" s="303"/>
      <c r="C56" s="304"/>
      <c r="D56" s="179"/>
      <c r="E56" s="99"/>
      <c r="F56" s="99"/>
      <c r="G56" s="99"/>
      <c r="H56" s="99"/>
      <c r="I56" s="99"/>
    </row>
    <row r="57" spans="1:9" s="109" customFormat="1" ht="18" customHeight="1" thickBot="1" x14ac:dyDescent="0.25">
      <c r="A57" s="139"/>
      <c r="D57" s="179"/>
      <c r="F57" s="99"/>
      <c r="G57" s="99"/>
      <c r="H57" s="99"/>
      <c r="I57" s="99"/>
    </row>
    <row r="58" spans="1:9" s="54" customFormat="1" ht="18" customHeight="1" thickBot="1" x14ac:dyDescent="0.25">
      <c r="A58" s="186" t="s">
        <v>80</v>
      </c>
      <c r="B58" s="184"/>
      <c r="C58" s="185"/>
      <c r="D58" s="180"/>
      <c r="E58" s="183"/>
      <c r="F58" s="183"/>
      <c r="G58" s="183"/>
      <c r="H58" s="183"/>
      <c r="I58" s="183"/>
    </row>
    <row r="59" spans="1:9" s="54" customFormat="1" ht="12" customHeight="1" thickBot="1" x14ac:dyDescent="0.25">
      <c r="A59" s="110"/>
      <c r="B59" s="65"/>
      <c r="C59" s="65"/>
      <c r="D59" s="179"/>
      <c r="E59" s="92"/>
      <c r="F59" s="92"/>
      <c r="G59" s="92"/>
      <c r="H59" s="92"/>
      <c r="I59" s="92"/>
    </row>
    <row r="60" spans="1:9" s="54" customFormat="1" ht="24" customHeight="1" thickBot="1" x14ac:dyDescent="0.25">
      <c r="A60" s="139"/>
      <c r="B60" s="303"/>
      <c r="C60" s="304"/>
      <c r="D60" s="179"/>
      <c r="E60" s="99"/>
      <c r="F60" s="99"/>
      <c r="G60" s="99"/>
      <c r="H60" s="99"/>
      <c r="I60" s="99"/>
    </row>
    <row r="61" spans="1:9" s="54" customFormat="1" ht="27" customHeight="1" thickBot="1" x14ac:dyDescent="0.25">
      <c r="A61" s="139"/>
      <c r="B61" s="303"/>
      <c r="C61" s="304"/>
      <c r="D61" s="179"/>
      <c r="E61" s="99"/>
      <c r="F61" s="99"/>
      <c r="G61" s="99"/>
      <c r="H61" s="99"/>
      <c r="I61" s="99"/>
    </row>
    <row r="62" spans="1:9" s="54" customFormat="1" ht="24" customHeight="1" thickBot="1" x14ac:dyDescent="0.25">
      <c r="A62" s="153"/>
      <c r="B62" s="303"/>
      <c r="C62" s="304"/>
      <c r="D62" s="179"/>
      <c r="E62" s="99"/>
      <c r="F62" s="99"/>
      <c r="G62" s="99"/>
      <c r="H62" s="99"/>
      <c r="I62" s="99"/>
    </row>
    <row r="63" spans="1:9" s="54" customFormat="1" ht="24" customHeight="1" thickBot="1" x14ac:dyDescent="0.25">
      <c r="A63" s="195"/>
      <c r="B63" s="303"/>
      <c r="C63" s="304"/>
      <c r="D63" s="179"/>
      <c r="E63" s="94"/>
      <c r="F63" s="94"/>
      <c r="G63" s="94"/>
      <c r="H63" s="94"/>
      <c r="I63" s="94"/>
    </row>
    <row r="64" spans="1:9" s="54" customFormat="1" ht="24.75" customHeight="1" thickBot="1" x14ac:dyDescent="0.25">
      <c r="A64" s="175"/>
      <c r="D64" s="179"/>
      <c r="F64" s="94"/>
      <c r="G64" s="94"/>
      <c r="H64" s="94"/>
      <c r="I64" s="94"/>
    </row>
    <row r="65" spans="1:9" s="54" customFormat="1" ht="24.75" customHeight="1" thickBot="1" x14ac:dyDescent="0.25">
      <c r="A65" s="186" t="s">
        <v>81</v>
      </c>
      <c r="B65" s="184"/>
      <c r="C65" s="185"/>
      <c r="D65" s="180"/>
      <c r="E65" s="183"/>
      <c r="F65" s="183"/>
      <c r="G65" s="183"/>
      <c r="H65" s="183"/>
      <c r="I65" s="183"/>
    </row>
    <row r="66" spans="1:9" s="54" customFormat="1" ht="12" thickBot="1" x14ac:dyDescent="0.25">
      <c r="A66" s="110"/>
      <c r="B66" s="65"/>
      <c r="C66" s="65"/>
      <c r="D66" s="179"/>
      <c r="E66" s="92"/>
      <c r="F66" s="92"/>
      <c r="G66" s="92"/>
      <c r="H66" s="92"/>
      <c r="I66" s="92"/>
    </row>
    <row r="67" spans="1:9" s="54" customFormat="1" ht="12" thickBot="1" x14ac:dyDescent="0.25">
      <c r="A67" s="110"/>
      <c r="B67" s="65"/>
      <c r="C67" s="65"/>
      <c r="D67" s="179"/>
      <c r="E67" s="92"/>
      <c r="F67" s="92"/>
      <c r="G67" s="92"/>
      <c r="H67" s="92"/>
      <c r="I67" s="92"/>
    </row>
    <row r="68" spans="1:9" s="54" customFormat="1" ht="12" thickBot="1" x14ac:dyDescent="0.25">
      <c r="A68" s="110"/>
      <c r="B68" s="65"/>
      <c r="C68" s="65"/>
      <c r="D68" s="179"/>
      <c r="E68" s="92"/>
      <c r="F68" s="92"/>
      <c r="G68" s="92"/>
      <c r="H68" s="92"/>
      <c r="I68" s="92"/>
    </row>
    <row r="69" spans="1:9" s="54" customFormat="1" ht="12" thickBot="1" x14ac:dyDescent="0.25">
      <c r="A69" s="139"/>
      <c r="B69" s="140"/>
      <c r="C69" s="140"/>
      <c r="D69" s="179"/>
      <c r="E69" s="99"/>
      <c r="F69" s="99"/>
      <c r="G69" s="99"/>
      <c r="H69" s="99"/>
      <c r="I69" s="99"/>
    </row>
    <row r="70" spans="1:9" s="54" customFormat="1" ht="17.100000000000001" customHeight="1" thickBot="1" x14ac:dyDescent="0.25">
      <c r="A70" s="139"/>
      <c r="B70" s="140"/>
      <c r="C70" s="140"/>
      <c r="D70" s="179"/>
      <c r="E70" s="99"/>
      <c r="F70" s="99"/>
      <c r="G70" s="99"/>
      <c r="H70" s="99"/>
      <c r="I70" s="99"/>
    </row>
    <row r="71" spans="1:9" s="54" customFormat="1" ht="24" customHeight="1" thickBot="1" x14ac:dyDescent="0.25">
      <c r="A71" s="186" t="s">
        <v>82</v>
      </c>
      <c r="B71" s="184"/>
      <c r="C71" s="185"/>
      <c r="D71" s="180"/>
      <c r="E71" s="183"/>
      <c r="F71" s="183"/>
      <c r="G71" s="183"/>
      <c r="H71" s="183"/>
      <c r="I71" s="183"/>
    </row>
    <row r="72" spans="1:9" s="109" customFormat="1" ht="20.100000000000001" customHeight="1" thickBot="1" x14ac:dyDescent="0.25">
      <c r="A72" s="143"/>
      <c r="B72" s="144"/>
      <c r="C72" s="144"/>
      <c r="D72" s="179"/>
      <c r="E72" s="87"/>
      <c r="F72" s="87"/>
      <c r="G72" s="87"/>
      <c r="H72" s="87"/>
      <c r="I72" s="87"/>
    </row>
    <row r="73" spans="1:9" s="109" customFormat="1" ht="18.75" customHeight="1" thickBot="1" x14ac:dyDescent="0.25">
      <c r="A73" s="139"/>
      <c r="B73" s="140"/>
      <c r="C73" s="140"/>
      <c r="D73" s="179"/>
      <c r="E73" s="99"/>
      <c r="F73" s="99"/>
      <c r="G73" s="99"/>
      <c r="H73" s="99"/>
      <c r="I73" s="99"/>
    </row>
    <row r="74" spans="1:9" s="109" customFormat="1" ht="21" customHeight="1" thickBot="1" x14ac:dyDescent="0.25">
      <c r="A74" s="139"/>
      <c r="B74" s="140"/>
      <c r="C74" s="140"/>
      <c r="D74" s="179"/>
      <c r="E74" s="99"/>
      <c r="F74" s="99"/>
      <c r="G74" s="99"/>
      <c r="H74" s="99"/>
      <c r="I74" s="99"/>
    </row>
  </sheetData>
  <mergeCells count="17">
    <mergeCell ref="B53:C53"/>
    <mergeCell ref="B54:C54"/>
    <mergeCell ref="B60:C60"/>
    <mergeCell ref="B61:C61"/>
    <mergeCell ref="B63:C63"/>
    <mergeCell ref="B56:C56"/>
    <mergeCell ref="B62:C62"/>
    <mergeCell ref="B55:C55"/>
    <mergeCell ref="B50:C50"/>
    <mergeCell ref="B51:C51"/>
    <mergeCell ref="B52:C52"/>
    <mergeCell ref="A36:C36"/>
    <mergeCell ref="A30:C30"/>
    <mergeCell ref="B45:C45"/>
    <mergeCell ref="B48:C48"/>
    <mergeCell ref="A33:C33"/>
    <mergeCell ref="B49:C49"/>
  </mergeCells>
  <phoneticPr fontId="0" type="noConversion"/>
  <printOptions gridLinesSet="0"/>
  <pageMargins left="0.19685039370078741" right="0.19685039370078741" top="0.51181102362204722" bottom="0.51181102362204722" header="0.11811023622047245" footer="0.31496062992125984"/>
  <pageSetup paperSize="9" scale="35" orientation="portrait" horizontalDpi="4294967292" verticalDpi="4294967292" r:id="rId1"/>
  <headerFooter alignWithMargins="0">
    <oddHeader>&amp;F</oddHead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zoomScale="150" zoomScaleNormal="150" zoomScalePageLayoutView="150" workbookViewId="0">
      <selection activeCell="D5" sqref="D5"/>
    </sheetView>
  </sheetViews>
  <sheetFormatPr defaultColWidth="11.42578125" defaultRowHeight="12.75" x14ac:dyDescent="0.2"/>
  <cols>
    <col min="1" max="9" width="11.42578125" customWidth="1"/>
    <col min="10" max="10" width="10.85546875" style="204" customWidth="1"/>
  </cols>
  <sheetData>
    <row r="1" spans="1:10" ht="18" x14ac:dyDescent="0.25">
      <c r="A1" s="201" t="s">
        <v>72</v>
      </c>
      <c r="B1" s="201" t="s">
        <v>73</v>
      </c>
    </row>
    <row r="4" spans="1:10" ht="45" x14ac:dyDescent="0.25">
      <c r="A4" s="197" t="s">
        <v>64</v>
      </c>
      <c r="B4" s="198" t="s">
        <v>38</v>
      </c>
      <c r="C4" s="198" t="s">
        <v>65</v>
      </c>
      <c r="D4" s="198" t="s">
        <v>66</v>
      </c>
      <c r="E4" s="198" t="s">
        <v>67</v>
      </c>
      <c r="F4" s="198" t="s">
        <v>68</v>
      </c>
      <c r="G4" s="198" t="s">
        <v>69</v>
      </c>
      <c r="H4" s="198" t="s">
        <v>70</v>
      </c>
      <c r="I4" s="198" t="s">
        <v>74</v>
      </c>
      <c r="J4" s="198" t="s">
        <v>71</v>
      </c>
    </row>
    <row r="5" spans="1:10" ht="15" x14ac:dyDescent="0.2">
      <c r="A5" s="199"/>
      <c r="B5" s="205"/>
      <c r="C5" s="205"/>
      <c r="D5" s="200"/>
      <c r="E5" s="200"/>
      <c r="F5" s="200"/>
      <c r="G5" s="200"/>
      <c r="H5" s="205"/>
      <c r="I5" s="205"/>
      <c r="J5" s="203">
        <f>SUM(B5:I5)</f>
        <v>0</v>
      </c>
    </row>
    <row r="6" spans="1:10" ht="15" x14ac:dyDescent="0.2">
      <c r="A6" s="199"/>
      <c r="B6" s="200"/>
      <c r="C6" s="200"/>
      <c r="D6" s="205"/>
      <c r="E6" s="200"/>
      <c r="F6" s="200"/>
      <c r="G6" s="200"/>
      <c r="H6" s="200"/>
      <c r="I6" s="200"/>
      <c r="J6" s="203">
        <f>SUM(B6:I6)</f>
        <v>0</v>
      </c>
    </row>
    <row r="7" spans="1:10" ht="15" x14ac:dyDescent="0.2">
      <c r="A7" s="199"/>
      <c r="B7" s="200"/>
      <c r="C7" s="200"/>
      <c r="D7" s="200"/>
      <c r="E7" s="205"/>
      <c r="F7" s="200"/>
      <c r="G7" s="200"/>
      <c r="H7" s="200"/>
      <c r="I7" s="200"/>
      <c r="J7" s="203">
        <f>SUM(B7:I7)</f>
        <v>0</v>
      </c>
    </row>
    <row r="8" spans="1:10" ht="15" x14ac:dyDescent="0.2">
      <c r="A8" s="199"/>
      <c r="B8" s="200"/>
      <c r="C8" s="200"/>
      <c r="D8" s="200"/>
      <c r="E8" s="200"/>
      <c r="F8" s="205"/>
      <c r="G8" s="200"/>
      <c r="H8" s="200"/>
      <c r="I8" s="200"/>
      <c r="J8" s="203">
        <f>SUM(B8:I8)</f>
        <v>0</v>
      </c>
    </row>
    <row r="9" spans="1:10" ht="15" x14ac:dyDescent="0.2">
      <c r="A9" s="199"/>
      <c r="B9" s="200"/>
      <c r="C9" s="200"/>
      <c r="D9" s="200"/>
      <c r="E9" s="200"/>
      <c r="F9" s="200"/>
      <c r="G9" s="205"/>
      <c r="H9" s="200"/>
      <c r="I9" s="200"/>
      <c r="J9" s="203">
        <f>SUM(B9:I9)</f>
        <v>0</v>
      </c>
    </row>
    <row r="10" spans="1:10" s="204" customFormat="1" ht="15" x14ac:dyDescent="0.2">
      <c r="A10" s="202" t="s">
        <v>57</v>
      </c>
      <c r="B10" s="203">
        <f t="shared" ref="B10:J10" si="0">SUM(B5:B9)</f>
        <v>0</v>
      </c>
      <c r="C10" s="203">
        <f t="shared" si="0"/>
        <v>0</v>
      </c>
      <c r="D10" s="203">
        <f t="shared" si="0"/>
        <v>0</v>
      </c>
      <c r="E10" s="203">
        <f t="shared" si="0"/>
        <v>0</v>
      </c>
      <c r="F10" s="203">
        <f t="shared" si="0"/>
        <v>0</v>
      </c>
      <c r="G10" s="203">
        <f t="shared" si="0"/>
        <v>0</v>
      </c>
      <c r="H10" s="203">
        <f t="shared" si="0"/>
        <v>0</v>
      </c>
      <c r="I10" s="203">
        <f t="shared" si="0"/>
        <v>0</v>
      </c>
      <c r="J10" s="203">
        <f t="shared" si="0"/>
        <v>0</v>
      </c>
    </row>
  </sheetData>
  <phoneticPr fontId="22" type="noConversion"/>
  <pageMargins left="0.75" right="0.75" top="1" bottom="1" header="0.5" footer="0.5"/>
  <pageSetup paperSize="9" orientation="portrait" horizontalDpi="4294967292" verticalDpi="4294967292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zoomScale="150" zoomScaleNormal="150" zoomScalePageLayoutView="150" workbookViewId="0">
      <selection activeCell="D5" sqref="D5"/>
    </sheetView>
  </sheetViews>
  <sheetFormatPr defaultColWidth="8.85546875" defaultRowHeight="12.75" x14ac:dyDescent="0.2"/>
  <cols>
    <col min="1" max="1" width="8.85546875" customWidth="1"/>
    <col min="2" max="2" width="48.28515625" customWidth="1"/>
  </cols>
  <sheetData>
    <row r="1" spans="1:8" ht="15" thickTop="1" thickBot="1" x14ac:dyDescent="0.3">
      <c r="A1" s="113"/>
      <c r="B1" s="114" t="s">
        <v>43</v>
      </c>
      <c r="C1" s="115"/>
      <c r="D1" s="116"/>
      <c r="E1" s="116"/>
      <c r="F1" s="116"/>
      <c r="G1" s="116"/>
      <c r="H1" s="117"/>
    </row>
    <row r="2" spans="1:8" ht="13.5" thickBot="1" x14ac:dyDescent="0.25">
      <c r="A2" s="113"/>
      <c r="B2" s="118" t="s">
        <v>33</v>
      </c>
      <c r="C2" s="118"/>
      <c r="D2" s="118"/>
      <c r="E2" s="118"/>
      <c r="F2" s="118"/>
      <c r="G2" s="118"/>
      <c r="H2" s="119"/>
    </row>
    <row r="3" spans="1:8" x14ac:dyDescent="0.2">
      <c r="A3" s="113"/>
      <c r="B3" s="120" t="s">
        <v>25</v>
      </c>
      <c r="C3" s="121">
        <v>0</v>
      </c>
      <c r="D3" s="121">
        <v>0</v>
      </c>
      <c r="E3" s="121">
        <v>0</v>
      </c>
      <c r="F3" s="121">
        <v>0</v>
      </c>
      <c r="G3" s="121">
        <v>0</v>
      </c>
      <c r="H3" s="122">
        <f>SUM(C3:G3)</f>
        <v>0</v>
      </c>
    </row>
    <row r="4" spans="1:8" x14ac:dyDescent="0.2">
      <c r="A4" s="113"/>
      <c r="B4" s="123" t="s">
        <v>27</v>
      </c>
      <c r="C4" s="121">
        <v>0</v>
      </c>
      <c r="D4" s="121">
        <v>0</v>
      </c>
      <c r="E4" s="121">
        <v>0</v>
      </c>
      <c r="F4" s="121">
        <v>0</v>
      </c>
      <c r="G4" s="121">
        <v>0</v>
      </c>
      <c r="H4" s="122">
        <f t="shared" ref="H4:H9" si="0">SUM(C4:G4)</f>
        <v>0</v>
      </c>
    </row>
    <row r="5" spans="1:8" x14ac:dyDescent="0.2">
      <c r="A5" s="113"/>
      <c r="B5" s="123" t="s">
        <v>44</v>
      </c>
      <c r="C5" s="121">
        <v>0</v>
      </c>
      <c r="D5" s="121">
        <v>0</v>
      </c>
      <c r="E5" s="121">
        <v>0</v>
      </c>
      <c r="F5" s="121">
        <v>0</v>
      </c>
      <c r="G5" s="121">
        <v>0</v>
      </c>
      <c r="H5" s="122">
        <f t="shared" si="0"/>
        <v>0</v>
      </c>
    </row>
    <row r="6" spans="1:8" x14ac:dyDescent="0.2">
      <c r="A6" s="113"/>
      <c r="B6" s="123" t="s">
        <v>45</v>
      </c>
      <c r="C6" s="121">
        <v>0</v>
      </c>
      <c r="D6" s="121">
        <v>0</v>
      </c>
      <c r="E6" s="121">
        <v>0</v>
      </c>
      <c r="F6" s="121">
        <v>0</v>
      </c>
      <c r="G6" s="121">
        <v>0</v>
      </c>
      <c r="H6" s="122">
        <f t="shared" si="0"/>
        <v>0</v>
      </c>
    </row>
    <row r="7" spans="1:8" x14ac:dyDescent="0.2">
      <c r="A7" s="113"/>
      <c r="B7" s="123" t="s">
        <v>28</v>
      </c>
      <c r="C7" s="121">
        <v>0</v>
      </c>
      <c r="D7" s="121">
        <v>0</v>
      </c>
      <c r="E7" s="121">
        <v>0</v>
      </c>
      <c r="F7" s="121">
        <v>0</v>
      </c>
      <c r="G7" s="121">
        <v>0</v>
      </c>
      <c r="H7" s="122">
        <f t="shared" si="0"/>
        <v>0</v>
      </c>
    </row>
    <row r="8" spans="1:8" x14ac:dyDescent="0.2">
      <c r="A8" s="113"/>
      <c r="B8" s="123" t="s">
        <v>46</v>
      </c>
      <c r="C8" s="121">
        <v>0</v>
      </c>
      <c r="D8" s="121">
        <v>0</v>
      </c>
      <c r="E8" s="121">
        <v>0</v>
      </c>
      <c r="F8" s="121">
        <v>0</v>
      </c>
      <c r="G8" s="121">
        <v>0</v>
      </c>
      <c r="H8" s="122">
        <f t="shared" si="0"/>
        <v>0</v>
      </c>
    </row>
    <row r="9" spans="1:8" ht="14.25" thickBot="1" x14ac:dyDescent="0.3">
      <c r="A9" s="113"/>
      <c r="B9" s="124" t="s">
        <v>47</v>
      </c>
      <c r="C9" s="125">
        <f>SUM(C3:C8)</f>
        <v>0</v>
      </c>
      <c r="D9" s="125">
        <f>SUM(D3:D8)</f>
        <v>0</v>
      </c>
      <c r="E9" s="125">
        <f>SUM(E3:E8)</f>
        <v>0</v>
      </c>
      <c r="F9" s="125">
        <f>SUM(F3:F8)</f>
        <v>0</v>
      </c>
      <c r="G9" s="125">
        <f>SUM(G3:G8)</f>
        <v>0</v>
      </c>
      <c r="H9" s="126">
        <f t="shared" si="0"/>
        <v>0</v>
      </c>
    </row>
    <row r="10" spans="1:8" ht="13.5" thickBot="1" x14ac:dyDescent="0.25">
      <c r="A10" s="113"/>
      <c r="B10" s="118" t="s">
        <v>34</v>
      </c>
      <c r="C10" s="118"/>
      <c r="D10" s="118"/>
      <c r="E10" s="118"/>
      <c r="F10" s="118"/>
      <c r="G10" s="118"/>
      <c r="H10" s="127"/>
    </row>
    <row r="11" spans="1:8" ht="13.5" thickBot="1" x14ac:dyDescent="0.25">
      <c r="A11" s="113"/>
      <c r="B11" s="128"/>
      <c r="C11" s="129">
        <v>0</v>
      </c>
      <c r="D11" s="129">
        <v>0</v>
      </c>
      <c r="E11" s="129">
        <v>0</v>
      </c>
      <c r="F11" s="129">
        <v>0</v>
      </c>
      <c r="G11" s="129">
        <v>0</v>
      </c>
      <c r="H11" s="130">
        <v>0</v>
      </c>
    </row>
    <row r="12" spans="1:8" ht="13.5" thickBot="1" x14ac:dyDescent="0.25">
      <c r="A12" s="113"/>
      <c r="B12" s="118" t="s">
        <v>24</v>
      </c>
      <c r="C12" s="118"/>
      <c r="D12" s="118"/>
      <c r="E12" s="118"/>
      <c r="F12" s="118"/>
      <c r="G12" s="118"/>
      <c r="H12" s="127"/>
    </row>
    <row r="13" spans="1:8" ht="13.5" thickBot="1" x14ac:dyDescent="0.25">
      <c r="A13" s="113"/>
      <c r="B13" s="128"/>
      <c r="C13" s="131">
        <v>0</v>
      </c>
      <c r="D13" s="131">
        <v>0</v>
      </c>
      <c r="E13" s="131">
        <v>0</v>
      </c>
      <c r="F13" s="131">
        <v>0</v>
      </c>
      <c r="G13" s="131">
        <v>0</v>
      </c>
      <c r="H13" s="132">
        <v>0</v>
      </c>
    </row>
    <row r="14" spans="1:8" ht="13.5" thickBot="1" x14ac:dyDescent="0.25">
      <c r="A14" s="113"/>
      <c r="B14" s="118" t="s">
        <v>35</v>
      </c>
      <c r="C14" s="118"/>
      <c r="D14" s="118"/>
      <c r="E14" s="118"/>
      <c r="F14" s="118"/>
      <c r="G14" s="118"/>
      <c r="H14" s="127"/>
    </row>
    <row r="15" spans="1:8" ht="13.5" thickBot="1" x14ac:dyDescent="0.25">
      <c r="A15" s="113"/>
      <c r="B15" s="128"/>
      <c r="C15" s="131">
        <v>0</v>
      </c>
      <c r="D15" s="131">
        <v>0</v>
      </c>
      <c r="E15" s="131">
        <v>0</v>
      </c>
      <c r="F15" s="131">
        <v>0</v>
      </c>
      <c r="G15" s="131">
        <v>0</v>
      </c>
      <c r="H15" s="132">
        <v>0</v>
      </c>
    </row>
    <row r="16" spans="1:8" ht="13.5" thickBot="1" x14ac:dyDescent="0.25">
      <c r="A16" s="113"/>
      <c r="B16" s="118" t="s">
        <v>36</v>
      </c>
      <c r="C16" s="118"/>
      <c r="D16" s="118"/>
      <c r="E16" s="118"/>
      <c r="F16" s="118"/>
      <c r="G16" s="118"/>
      <c r="H16" s="127"/>
    </row>
    <row r="17" spans="1:8" x14ac:dyDescent="0.2">
      <c r="A17" s="113"/>
      <c r="B17" s="120" t="s">
        <v>48</v>
      </c>
      <c r="C17" s="121">
        <v>0</v>
      </c>
      <c r="D17" s="121">
        <v>0</v>
      </c>
      <c r="E17" s="121">
        <v>0</v>
      </c>
      <c r="F17" s="121">
        <v>0</v>
      </c>
      <c r="G17" s="121">
        <v>0</v>
      </c>
      <c r="H17" s="122">
        <f>SUM(C17:G17)</f>
        <v>0</v>
      </c>
    </row>
    <row r="18" spans="1:8" ht="14.25" thickBot="1" x14ac:dyDescent="0.3">
      <c r="A18" s="113"/>
      <c r="B18" s="124" t="s">
        <v>49</v>
      </c>
      <c r="C18" s="125">
        <f t="shared" ref="C18:H18" si="1">C17</f>
        <v>0</v>
      </c>
      <c r="D18" s="125">
        <f t="shared" si="1"/>
        <v>0</v>
      </c>
      <c r="E18" s="125">
        <f t="shared" si="1"/>
        <v>0</v>
      </c>
      <c r="F18" s="125">
        <f t="shared" si="1"/>
        <v>0</v>
      </c>
      <c r="G18" s="125">
        <f t="shared" si="1"/>
        <v>0</v>
      </c>
      <c r="H18" s="133">
        <f t="shared" si="1"/>
        <v>0</v>
      </c>
    </row>
    <row r="19" spans="1:8" ht="13.5" thickBot="1" x14ac:dyDescent="0.25">
      <c r="A19" s="113"/>
      <c r="B19" s="118" t="s">
        <v>37</v>
      </c>
      <c r="C19" s="118"/>
      <c r="D19" s="118"/>
      <c r="E19" s="118"/>
      <c r="F19" s="118"/>
      <c r="G19" s="118"/>
      <c r="H19" s="127"/>
    </row>
    <row r="20" spans="1:8" ht="13.5" thickBot="1" x14ac:dyDescent="0.25">
      <c r="A20" s="113"/>
      <c r="B20" s="134"/>
      <c r="C20" s="135">
        <v>0</v>
      </c>
      <c r="D20" s="135">
        <v>0</v>
      </c>
      <c r="E20" s="135">
        <v>0</v>
      </c>
      <c r="F20" s="135">
        <v>0</v>
      </c>
      <c r="G20" s="135">
        <v>0</v>
      </c>
      <c r="H20" s="136">
        <v>0</v>
      </c>
    </row>
    <row r="21" spans="1:8" ht="13.5" thickBot="1" x14ac:dyDescent="0.25">
      <c r="A21" s="113"/>
      <c r="B21" s="137" t="s">
        <v>50</v>
      </c>
      <c r="C21" s="138">
        <f t="shared" ref="C21:H21" si="2">C9+C11+C13+C15+C18</f>
        <v>0</v>
      </c>
      <c r="D21" s="138">
        <f t="shared" si="2"/>
        <v>0</v>
      </c>
      <c r="E21" s="138">
        <f t="shared" si="2"/>
        <v>0</v>
      </c>
      <c r="F21" s="138">
        <f t="shared" si="2"/>
        <v>0</v>
      </c>
      <c r="G21" s="138">
        <f t="shared" si="2"/>
        <v>0</v>
      </c>
      <c r="H21" s="138">
        <f t="shared" si="2"/>
        <v>0</v>
      </c>
    </row>
    <row r="22" spans="1:8" ht="13.5" thickTop="1" x14ac:dyDescent="0.2"/>
  </sheetData>
  <phoneticPr fontId="14" type="noConversion"/>
  <pageMargins left="0.75" right="0.75" top="1" bottom="1" header="0.5" footer="0.5"/>
  <pageSetup paperSize="9" orientation="portrait" horizontalDpi="1200" verticalDpi="1200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51"/>
  <sheetViews>
    <sheetView zoomScale="150" zoomScaleNormal="150" zoomScalePageLayoutView="150" workbookViewId="0">
      <pane ySplit="3" topLeftCell="A4" activePane="bottomLeft" state="frozen"/>
      <selection activeCell="D5" sqref="D5"/>
      <selection pane="bottomLeft" activeCell="D5" sqref="D5"/>
    </sheetView>
  </sheetViews>
  <sheetFormatPr defaultColWidth="8.85546875" defaultRowHeight="12.75" x14ac:dyDescent="0.2"/>
  <cols>
    <col min="1" max="1" width="52.42578125" customWidth="1"/>
    <col min="2" max="37" width="2.7109375" style="206" customWidth="1"/>
  </cols>
  <sheetData>
    <row r="2" spans="1:37" ht="13.5" thickBot="1" x14ac:dyDescent="0.25"/>
    <row r="3" spans="1:37" ht="13.5" thickBot="1" x14ac:dyDescent="0.25">
      <c r="A3" s="209"/>
      <c r="B3" s="211">
        <v>1</v>
      </c>
      <c r="C3" s="212">
        <v>2</v>
      </c>
      <c r="D3" s="212">
        <v>3</v>
      </c>
      <c r="E3" s="212">
        <v>4</v>
      </c>
      <c r="F3" s="212">
        <v>5</v>
      </c>
      <c r="G3" s="212">
        <v>6</v>
      </c>
      <c r="H3" s="212">
        <v>7</v>
      </c>
      <c r="I3" s="212">
        <v>8</v>
      </c>
      <c r="J3" s="212">
        <v>9</v>
      </c>
      <c r="K3" s="212">
        <v>10</v>
      </c>
      <c r="L3" s="212">
        <v>11</v>
      </c>
      <c r="M3" s="212">
        <v>12</v>
      </c>
      <c r="N3" s="212">
        <v>13</v>
      </c>
      <c r="O3" s="212">
        <v>14</v>
      </c>
      <c r="P3" s="212">
        <v>15</v>
      </c>
      <c r="Q3" s="212">
        <v>16</v>
      </c>
      <c r="R3" s="212">
        <v>17</v>
      </c>
      <c r="S3" s="212">
        <v>18</v>
      </c>
      <c r="T3" s="212">
        <v>19</v>
      </c>
      <c r="U3" s="212">
        <v>20</v>
      </c>
      <c r="V3" s="212">
        <v>21</v>
      </c>
      <c r="W3" s="212">
        <v>22</v>
      </c>
      <c r="X3" s="212">
        <v>23</v>
      </c>
      <c r="Y3" s="212">
        <v>24</v>
      </c>
      <c r="Z3" s="212">
        <v>25</v>
      </c>
      <c r="AA3" s="212">
        <v>26</v>
      </c>
      <c r="AB3" s="212">
        <v>27</v>
      </c>
      <c r="AC3" s="212">
        <v>28</v>
      </c>
      <c r="AD3" s="212">
        <v>29</v>
      </c>
      <c r="AE3" s="212">
        <v>30</v>
      </c>
      <c r="AF3" s="212">
        <v>31</v>
      </c>
      <c r="AG3" s="212">
        <v>32</v>
      </c>
      <c r="AH3" s="212">
        <v>33</v>
      </c>
      <c r="AI3" s="212">
        <v>34</v>
      </c>
      <c r="AJ3" s="212">
        <v>35</v>
      </c>
      <c r="AK3" s="213">
        <v>36</v>
      </c>
    </row>
    <row r="4" spans="1:37" x14ac:dyDescent="0.2">
      <c r="A4" s="210" t="s">
        <v>87</v>
      </c>
      <c r="B4" s="219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8"/>
    </row>
    <row r="5" spans="1:37" x14ac:dyDescent="0.2">
      <c r="A5" s="210" t="s">
        <v>90</v>
      </c>
      <c r="B5" s="224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25"/>
      <c r="AE5" s="225"/>
      <c r="AF5" s="225"/>
      <c r="AG5" s="225"/>
      <c r="AH5" s="225"/>
      <c r="AI5" s="225"/>
      <c r="AJ5" s="225"/>
      <c r="AK5" s="226"/>
    </row>
    <row r="6" spans="1:37" x14ac:dyDescent="0.2">
      <c r="A6" s="210" t="s">
        <v>90</v>
      </c>
      <c r="B6" s="224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  <c r="AE6" s="225"/>
      <c r="AF6" s="225"/>
      <c r="AG6" s="225"/>
      <c r="AH6" s="225"/>
      <c r="AI6" s="225"/>
      <c r="AJ6" s="225"/>
      <c r="AK6" s="226"/>
    </row>
    <row r="7" spans="1:37" x14ac:dyDescent="0.2">
      <c r="A7" s="210" t="s">
        <v>90</v>
      </c>
      <c r="B7" s="224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6"/>
    </row>
    <row r="8" spans="1:37" x14ac:dyDescent="0.2">
      <c r="A8" s="210" t="s">
        <v>83</v>
      </c>
      <c r="B8" s="219"/>
      <c r="C8" s="217"/>
      <c r="D8" s="217"/>
      <c r="E8" s="217"/>
      <c r="F8" s="217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8"/>
    </row>
    <row r="9" spans="1:37" x14ac:dyDescent="0.2">
      <c r="A9" s="210" t="s">
        <v>90</v>
      </c>
      <c r="B9" s="224"/>
      <c r="C9" s="225"/>
      <c r="D9" s="225"/>
      <c r="E9" s="225"/>
      <c r="F9" s="225"/>
      <c r="G9" s="225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7"/>
      <c r="AF9" s="207"/>
      <c r="AG9" s="207"/>
      <c r="AH9" s="207"/>
      <c r="AI9" s="207"/>
      <c r="AJ9" s="207"/>
      <c r="AK9" s="208"/>
    </row>
    <row r="10" spans="1:37" x14ac:dyDescent="0.2">
      <c r="A10" s="210" t="s">
        <v>90</v>
      </c>
      <c r="B10" s="224"/>
      <c r="C10" s="225"/>
      <c r="D10" s="225"/>
      <c r="E10" s="225"/>
      <c r="F10" s="225"/>
      <c r="G10" s="225"/>
      <c r="H10" s="207"/>
      <c r="I10" s="207"/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07"/>
      <c r="AH10" s="207"/>
      <c r="AI10" s="207"/>
      <c r="AJ10" s="207"/>
      <c r="AK10" s="208"/>
    </row>
    <row r="11" spans="1:37" x14ac:dyDescent="0.2">
      <c r="A11" s="210" t="s">
        <v>90</v>
      </c>
      <c r="B11" s="224"/>
      <c r="C11" s="225"/>
      <c r="D11" s="225"/>
      <c r="E11" s="225"/>
      <c r="F11" s="225"/>
      <c r="G11" s="225"/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7"/>
      <c r="AF11" s="207"/>
      <c r="AG11" s="207"/>
      <c r="AH11" s="207"/>
      <c r="AI11" s="207"/>
      <c r="AJ11" s="207"/>
      <c r="AK11" s="208"/>
    </row>
    <row r="12" spans="1:37" x14ac:dyDescent="0.2">
      <c r="A12" s="210" t="s">
        <v>66</v>
      </c>
      <c r="B12" s="219"/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27"/>
      <c r="U12" s="227"/>
      <c r="V12" s="227"/>
      <c r="W12" s="227"/>
      <c r="X12" s="227"/>
      <c r="Y12" s="227"/>
      <c r="Z12" s="207"/>
      <c r="AA12" s="207"/>
      <c r="AB12" s="207"/>
      <c r="AC12" s="207"/>
      <c r="AD12" s="207"/>
      <c r="AE12" s="207"/>
      <c r="AF12" s="207"/>
      <c r="AG12" s="207"/>
      <c r="AH12" s="207"/>
      <c r="AI12" s="207"/>
      <c r="AJ12" s="207"/>
      <c r="AK12" s="208"/>
    </row>
    <row r="13" spans="1:37" x14ac:dyDescent="0.2">
      <c r="A13" s="210" t="s">
        <v>90</v>
      </c>
      <c r="B13" s="224"/>
      <c r="C13" s="225"/>
      <c r="D13" s="225"/>
      <c r="E13" s="225"/>
      <c r="F13" s="225"/>
      <c r="G13" s="225"/>
      <c r="H13" s="225"/>
      <c r="I13" s="225"/>
      <c r="J13" s="225"/>
      <c r="K13" s="225"/>
      <c r="L13" s="225"/>
      <c r="M13" s="225"/>
      <c r="N13" s="225"/>
      <c r="O13" s="225"/>
      <c r="P13" s="225"/>
      <c r="Q13" s="225"/>
      <c r="R13" s="225"/>
      <c r="S13" s="225"/>
      <c r="T13" s="225"/>
      <c r="U13" s="225"/>
      <c r="V13" s="225"/>
      <c r="W13" s="225"/>
      <c r="X13" s="225"/>
      <c r="Y13" s="225"/>
      <c r="Z13" s="225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8"/>
    </row>
    <row r="14" spans="1:37" x14ac:dyDescent="0.2">
      <c r="A14" s="210" t="s">
        <v>90</v>
      </c>
      <c r="B14" s="224"/>
      <c r="C14" s="225"/>
      <c r="D14" s="225"/>
      <c r="E14" s="225"/>
      <c r="F14" s="225"/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225"/>
      <c r="U14" s="225"/>
      <c r="V14" s="225"/>
      <c r="W14" s="225"/>
      <c r="X14" s="225"/>
      <c r="Y14" s="225"/>
      <c r="Z14" s="225"/>
      <c r="AA14" s="207"/>
      <c r="AB14" s="207"/>
      <c r="AC14" s="207"/>
      <c r="AD14" s="207"/>
      <c r="AE14" s="207"/>
      <c r="AF14" s="207"/>
      <c r="AG14" s="207"/>
      <c r="AH14" s="207"/>
      <c r="AI14" s="207"/>
      <c r="AJ14" s="207"/>
      <c r="AK14" s="208"/>
    </row>
    <row r="15" spans="1:37" x14ac:dyDescent="0.2">
      <c r="A15" s="210" t="s">
        <v>90</v>
      </c>
      <c r="B15" s="224"/>
      <c r="C15" s="225"/>
      <c r="D15" s="225"/>
      <c r="E15" s="225"/>
      <c r="F15" s="225"/>
      <c r="G15" s="225"/>
      <c r="H15" s="225"/>
      <c r="I15" s="225"/>
      <c r="J15" s="225"/>
      <c r="K15" s="225"/>
      <c r="L15" s="225"/>
      <c r="M15" s="225"/>
      <c r="N15" s="225"/>
      <c r="O15" s="225"/>
      <c r="P15" s="225"/>
      <c r="Q15" s="225"/>
      <c r="R15" s="225"/>
      <c r="S15" s="225"/>
      <c r="T15" s="225"/>
      <c r="U15" s="225"/>
      <c r="V15" s="225"/>
      <c r="W15" s="225"/>
      <c r="X15" s="225"/>
      <c r="Y15" s="225"/>
      <c r="Z15" s="225"/>
      <c r="AA15" s="207"/>
      <c r="AB15" s="207"/>
      <c r="AC15" s="207"/>
      <c r="AD15" s="207"/>
      <c r="AE15" s="207"/>
      <c r="AF15" s="207"/>
      <c r="AG15" s="207"/>
      <c r="AH15" s="207"/>
      <c r="AI15" s="207"/>
      <c r="AJ15" s="207"/>
      <c r="AK15" s="208"/>
    </row>
    <row r="16" spans="1:37" x14ac:dyDescent="0.2">
      <c r="A16" s="210" t="s">
        <v>84</v>
      </c>
      <c r="B16" s="224"/>
      <c r="C16" s="225"/>
      <c r="D16" s="225"/>
      <c r="E16" s="225"/>
      <c r="F16" s="225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25"/>
      <c r="U16" s="225"/>
      <c r="V16" s="225"/>
      <c r="W16" s="225"/>
      <c r="X16" s="225"/>
      <c r="Y16" s="225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K16" s="208"/>
    </row>
    <row r="17" spans="1:37" x14ac:dyDescent="0.2">
      <c r="A17" s="210" t="s">
        <v>90</v>
      </c>
      <c r="B17" s="224"/>
      <c r="C17" s="225"/>
      <c r="D17" s="225"/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8"/>
    </row>
    <row r="18" spans="1:37" x14ac:dyDescent="0.2">
      <c r="A18" s="210" t="s">
        <v>90</v>
      </c>
      <c r="B18" s="224"/>
      <c r="C18" s="225"/>
      <c r="D18" s="225"/>
      <c r="E18" s="225"/>
      <c r="F18" s="225"/>
      <c r="G18" s="225"/>
      <c r="H18" s="225"/>
      <c r="I18" s="225"/>
      <c r="J18" s="225"/>
      <c r="K18" s="225"/>
      <c r="L18" s="225"/>
      <c r="M18" s="225"/>
      <c r="N18" s="225"/>
      <c r="O18" s="225"/>
      <c r="P18" s="225"/>
      <c r="Q18" s="225"/>
      <c r="R18" s="225"/>
      <c r="S18" s="225"/>
      <c r="T18" s="225"/>
      <c r="U18" s="225"/>
      <c r="V18" s="225"/>
      <c r="W18" s="225"/>
      <c r="X18" s="225"/>
      <c r="Y18" s="225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8"/>
    </row>
    <row r="19" spans="1:37" x14ac:dyDescent="0.2">
      <c r="A19" s="210" t="s">
        <v>90</v>
      </c>
      <c r="B19" s="224"/>
      <c r="C19" s="225"/>
      <c r="D19" s="225"/>
      <c r="E19" s="225"/>
      <c r="F19" s="225"/>
      <c r="G19" s="225"/>
      <c r="H19" s="225"/>
      <c r="I19" s="225"/>
      <c r="J19" s="225"/>
      <c r="K19" s="225"/>
      <c r="L19" s="225"/>
      <c r="M19" s="225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8"/>
    </row>
    <row r="20" spans="1:37" x14ac:dyDescent="0.2">
      <c r="A20" s="210" t="s">
        <v>85</v>
      </c>
      <c r="B20" s="224"/>
      <c r="C20" s="225"/>
      <c r="D20" s="225"/>
      <c r="E20" s="225"/>
      <c r="F20" s="225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25"/>
      <c r="U20" s="225"/>
      <c r="V20" s="225"/>
      <c r="W20" s="225"/>
      <c r="X20" s="225"/>
      <c r="Y20" s="225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  <c r="AK20" s="208"/>
    </row>
    <row r="21" spans="1:37" x14ac:dyDescent="0.2">
      <c r="A21" s="210" t="s">
        <v>90</v>
      </c>
      <c r="B21" s="224"/>
      <c r="C21" s="225"/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8"/>
    </row>
    <row r="22" spans="1:37" x14ac:dyDescent="0.2">
      <c r="A22" s="210" t="s">
        <v>90</v>
      </c>
      <c r="B22" s="224"/>
      <c r="C22" s="225"/>
      <c r="D22" s="225"/>
      <c r="E22" s="225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07"/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8"/>
    </row>
    <row r="23" spans="1:37" x14ac:dyDescent="0.2">
      <c r="A23" s="210" t="s">
        <v>90</v>
      </c>
      <c r="B23" s="224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V23" s="225"/>
      <c r="W23" s="225"/>
      <c r="X23" s="225"/>
      <c r="Y23" s="225"/>
      <c r="Z23" s="207"/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  <c r="AK23" s="208"/>
    </row>
    <row r="24" spans="1:37" x14ac:dyDescent="0.2">
      <c r="A24" s="210" t="s">
        <v>86</v>
      </c>
      <c r="B24" s="224"/>
      <c r="C24" s="225"/>
      <c r="D24" s="225"/>
      <c r="E24" s="225"/>
      <c r="F24" s="225"/>
      <c r="G24" s="225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07"/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K24" s="208"/>
    </row>
    <row r="25" spans="1:37" x14ac:dyDescent="0.2">
      <c r="A25" s="210" t="s">
        <v>90</v>
      </c>
      <c r="B25" s="224"/>
      <c r="C25" s="225"/>
      <c r="D25" s="225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Y25" s="225"/>
      <c r="Z25" s="225"/>
      <c r="AA25" s="225"/>
      <c r="AB25" s="207"/>
      <c r="AC25" s="207"/>
      <c r="AD25" s="207"/>
      <c r="AE25" s="207"/>
      <c r="AF25" s="207"/>
      <c r="AG25" s="207"/>
      <c r="AH25" s="207"/>
      <c r="AI25" s="207"/>
      <c r="AJ25" s="207"/>
      <c r="AK25" s="208"/>
    </row>
    <row r="26" spans="1:37" x14ac:dyDescent="0.2">
      <c r="A26" s="210" t="s">
        <v>90</v>
      </c>
      <c r="B26" s="224"/>
      <c r="C26" s="225"/>
      <c r="D26" s="225"/>
      <c r="E26" s="225"/>
      <c r="F26" s="225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5"/>
      <c r="S26" s="225"/>
      <c r="T26" s="225"/>
      <c r="U26" s="225"/>
      <c r="V26" s="225"/>
      <c r="W26" s="225"/>
      <c r="X26" s="225"/>
      <c r="Y26" s="225"/>
      <c r="Z26" s="225"/>
      <c r="AA26" s="225"/>
      <c r="AB26" s="207"/>
      <c r="AC26" s="207"/>
      <c r="AD26" s="207"/>
      <c r="AE26" s="207"/>
      <c r="AF26" s="207"/>
      <c r="AG26" s="207"/>
      <c r="AH26" s="207"/>
      <c r="AI26" s="207"/>
      <c r="AJ26" s="207"/>
      <c r="AK26" s="208"/>
    </row>
    <row r="27" spans="1:37" x14ac:dyDescent="0.2">
      <c r="A27" s="210" t="s">
        <v>90</v>
      </c>
      <c r="B27" s="224"/>
      <c r="C27" s="225"/>
      <c r="D27" s="225"/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Y27" s="225"/>
      <c r="Z27" s="225"/>
      <c r="AA27" s="225"/>
      <c r="AB27" s="207"/>
      <c r="AC27" s="207"/>
      <c r="AD27" s="207"/>
      <c r="AE27" s="207"/>
      <c r="AF27" s="207"/>
      <c r="AG27" s="207"/>
      <c r="AH27" s="207"/>
      <c r="AI27" s="207"/>
      <c r="AJ27" s="207"/>
      <c r="AK27" s="208"/>
    </row>
    <row r="28" spans="1:37" x14ac:dyDescent="0.2">
      <c r="A28" s="210" t="s">
        <v>92</v>
      </c>
      <c r="B28" s="220"/>
      <c r="C28" s="207"/>
      <c r="D28" s="207"/>
      <c r="E28" s="207"/>
      <c r="F28" s="207"/>
      <c r="G28" s="207"/>
      <c r="H28" s="207"/>
      <c r="I28" s="207"/>
      <c r="J28" s="207"/>
      <c r="K28" s="216"/>
      <c r="L28" s="216"/>
      <c r="M28" s="216"/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25"/>
      <c r="AA28" s="225"/>
      <c r="AB28" s="225"/>
      <c r="AC28" s="225"/>
      <c r="AD28" s="225"/>
      <c r="AE28" s="225"/>
      <c r="AF28" s="225"/>
      <c r="AG28" s="225"/>
      <c r="AH28" s="225"/>
      <c r="AI28" s="207"/>
      <c r="AJ28" s="207"/>
      <c r="AK28" s="208"/>
    </row>
    <row r="29" spans="1:37" x14ac:dyDescent="0.2">
      <c r="A29" s="210" t="s">
        <v>90</v>
      </c>
      <c r="B29" s="221"/>
      <c r="C29" s="215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25"/>
      <c r="T29" s="225"/>
      <c r="U29" s="225"/>
      <c r="V29" s="225"/>
      <c r="W29" s="225"/>
      <c r="X29" s="225"/>
      <c r="Y29" s="225"/>
      <c r="Z29" s="225"/>
      <c r="AA29" s="225"/>
      <c r="AB29" s="227"/>
      <c r="AC29" s="227"/>
      <c r="AD29" s="227"/>
      <c r="AE29" s="227"/>
      <c r="AF29" s="227"/>
      <c r="AG29" s="227"/>
      <c r="AH29" s="227"/>
      <c r="AI29" s="227"/>
      <c r="AJ29" s="227"/>
      <c r="AK29" s="228"/>
    </row>
    <row r="30" spans="1:37" x14ac:dyDescent="0.2">
      <c r="A30" s="210" t="s">
        <v>90</v>
      </c>
      <c r="B30" s="221"/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27"/>
      <c r="T30" s="227"/>
      <c r="U30" s="227"/>
      <c r="V30" s="227"/>
      <c r="W30" s="227"/>
      <c r="X30" s="227"/>
      <c r="Y30" s="227"/>
      <c r="Z30" s="227"/>
      <c r="AA30" s="227"/>
      <c r="AB30" s="225"/>
      <c r="AC30" s="225"/>
      <c r="AD30" s="225"/>
      <c r="AE30" s="225"/>
      <c r="AF30" s="225"/>
      <c r="AG30" s="225"/>
      <c r="AH30" s="225"/>
      <c r="AI30" s="227"/>
      <c r="AJ30" s="227"/>
      <c r="AK30" s="228"/>
    </row>
    <row r="31" spans="1:37" x14ac:dyDescent="0.2">
      <c r="A31" s="210" t="s">
        <v>90</v>
      </c>
      <c r="B31" s="221"/>
      <c r="C31" s="215"/>
      <c r="D31" s="215"/>
      <c r="E31" s="215"/>
      <c r="F31" s="215"/>
      <c r="G31" s="215"/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/>
      <c r="S31" s="227"/>
      <c r="T31" s="227"/>
      <c r="U31" s="227"/>
      <c r="V31" s="227"/>
      <c r="W31" s="227"/>
      <c r="X31" s="227"/>
      <c r="Y31" s="227"/>
      <c r="Z31" s="227"/>
      <c r="AA31" s="227"/>
      <c r="AB31" s="227"/>
      <c r="AC31" s="227"/>
      <c r="AD31" s="227"/>
      <c r="AE31" s="227"/>
      <c r="AF31" s="227"/>
      <c r="AG31" s="227"/>
      <c r="AH31" s="227"/>
      <c r="AI31" s="227"/>
      <c r="AJ31" s="227"/>
      <c r="AK31" s="228"/>
    </row>
    <row r="32" spans="1:37" x14ac:dyDescent="0.2">
      <c r="A32" s="214" t="s">
        <v>91</v>
      </c>
      <c r="B32" s="229"/>
      <c r="C32" s="227"/>
      <c r="D32" s="227"/>
      <c r="E32" s="227"/>
      <c r="F32" s="227"/>
      <c r="G32" s="227"/>
      <c r="H32" s="227"/>
      <c r="I32" s="227"/>
      <c r="J32" s="227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217"/>
      <c r="AJ32" s="217"/>
      <c r="AK32" s="218"/>
    </row>
    <row r="33" spans="1:37" x14ac:dyDescent="0.2">
      <c r="A33" s="210" t="s">
        <v>90</v>
      </c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  <c r="Z33" s="225"/>
      <c r="AA33" s="225"/>
      <c r="AB33" s="225"/>
      <c r="AC33" s="225"/>
      <c r="AD33" s="225"/>
      <c r="AE33" s="225"/>
      <c r="AF33" s="225"/>
      <c r="AG33" s="225"/>
      <c r="AH33" s="225"/>
      <c r="AI33" s="225"/>
      <c r="AJ33" s="225"/>
      <c r="AK33" s="226"/>
    </row>
    <row r="34" spans="1:37" x14ac:dyDescent="0.2">
      <c r="A34" s="210" t="s">
        <v>90</v>
      </c>
      <c r="B34" s="224"/>
      <c r="C34" s="225"/>
      <c r="D34" s="225"/>
      <c r="E34" s="225"/>
      <c r="F34" s="225"/>
      <c r="G34" s="225"/>
      <c r="H34" s="227"/>
      <c r="I34" s="227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  <c r="AB34" s="227"/>
      <c r="AC34" s="227"/>
      <c r="AD34" s="227"/>
      <c r="AE34" s="227"/>
      <c r="AF34" s="227"/>
      <c r="AG34" s="227"/>
      <c r="AH34" s="227"/>
      <c r="AI34" s="227"/>
      <c r="AJ34" s="225"/>
      <c r="AK34" s="228"/>
    </row>
    <row r="35" spans="1:37" x14ac:dyDescent="0.2">
      <c r="A35" s="230" t="s">
        <v>90</v>
      </c>
      <c r="B35" s="225"/>
      <c r="C35" s="225"/>
      <c r="D35" s="225"/>
      <c r="E35" s="225"/>
      <c r="F35" s="225"/>
      <c r="G35" s="225"/>
      <c r="H35" s="225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225"/>
      <c r="AA35" s="225"/>
      <c r="AB35" s="225"/>
      <c r="AC35" s="225"/>
      <c r="AD35" s="225"/>
      <c r="AE35" s="225"/>
      <c r="AF35" s="225"/>
      <c r="AG35" s="225"/>
      <c r="AH35" s="225"/>
      <c r="AI35" s="225"/>
      <c r="AJ35" s="225"/>
      <c r="AK35" s="225"/>
    </row>
    <row r="36" spans="1:37" x14ac:dyDescent="0.2">
      <c r="A36" s="231" t="s">
        <v>93</v>
      </c>
      <c r="B36" s="207"/>
      <c r="C36" s="207"/>
      <c r="D36" s="207"/>
      <c r="E36" s="207"/>
      <c r="F36" s="207"/>
      <c r="G36" s="207"/>
      <c r="H36" s="207"/>
      <c r="I36" s="207"/>
      <c r="J36" s="207"/>
      <c r="K36" s="207"/>
      <c r="L36" s="207"/>
      <c r="M36" s="216"/>
      <c r="N36" s="216"/>
      <c r="O36" s="216"/>
      <c r="P36" s="216"/>
      <c r="Q36" s="216"/>
      <c r="R36" s="216"/>
      <c r="S36" s="216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  <c r="AI36" s="216"/>
      <c r="AJ36" s="216"/>
      <c r="AK36" s="216"/>
    </row>
    <row r="37" spans="1:37" x14ac:dyDescent="0.2">
      <c r="A37" s="230" t="s">
        <v>90</v>
      </c>
      <c r="B37" s="207"/>
      <c r="C37" s="207"/>
      <c r="D37" s="207"/>
      <c r="E37" s="207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  <c r="AA37" s="207"/>
      <c r="AB37" s="207"/>
      <c r="AC37" s="207"/>
      <c r="AD37" s="207"/>
      <c r="AE37" s="207"/>
      <c r="AF37" s="207"/>
      <c r="AG37" s="207"/>
      <c r="AH37" s="207"/>
      <c r="AI37" s="207"/>
      <c r="AJ37" s="207"/>
      <c r="AK37" s="207"/>
    </row>
    <row r="38" spans="1:37" x14ac:dyDescent="0.2">
      <c r="A38" s="230" t="s">
        <v>90</v>
      </c>
      <c r="B38" s="207"/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207"/>
      <c r="AG38" s="207"/>
      <c r="AH38" s="207"/>
      <c r="AI38" s="207"/>
      <c r="AJ38" s="207"/>
      <c r="AK38" s="207"/>
    </row>
    <row r="39" spans="1:37" x14ac:dyDescent="0.2">
      <c r="A39" s="230" t="s">
        <v>90</v>
      </c>
      <c r="B39" s="207"/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  <c r="AA39" s="207"/>
      <c r="AB39" s="207"/>
      <c r="AC39" s="207"/>
      <c r="AD39" s="207"/>
      <c r="AE39" s="207"/>
      <c r="AF39" s="207"/>
      <c r="AG39" s="207"/>
      <c r="AH39" s="207"/>
      <c r="AI39" s="207"/>
      <c r="AJ39" s="207"/>
      <c r="AK39" s="207"/>
    </row>
    <row r="40" spans="1:37" x14ac:dyDescent="0.2">
      <c r="A40" s="231" t="s">
        <v>94</v>
      </c>
      <c r="B40" s="207"/>
      <c r="C40" s="207"/>
      <c r="D40" s="207"/>
      <c r="E40" s="207"/>
      <c r="F40" s="207"/>
      <c r="G40" s="207"/>
      <c r="H40" s="207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  <c r="AH40" s="216"/>
      <c r="AI40" s="216"/>
      <c r="AJ40" s="216"/>
      <c r="AK40" s="216"/>
    </row>
    <row r="41" spans="1:37" x14ac:dyDescent="0.2">
      <c r="A41" s="230" t="s">
        <v>90</v>
      </c>
      <c r="B41" s="207"/>
      <c r="C41" s="207"/>
      <c r="D41" s="207"/>
      <c r="E41" s="207"/>
      <c r="F41" s="207"/>
      <c r="G41" s="207"/>
      <c r="H41" s="207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207"/>
      <c r="AA41" s="207"/>
      <c r="AB41" s="207"/>
      <c r="AC41" s="207"/>
      <c r="AD41" s="207"/>
      <c r="AE41" s="207"/>
      <c r="AF41" s="207"/>
      <c r="AG41" s="207"/>
      <c r="AH41" s="207"/>
      <c r="AI41" s="207"/>
      <c r="AJ41" s="207"/>
      <c r="AK41" s="207"/>
    </row>
    <row r="42" spans="1:37" x14ac:dyDescent="0.2">
      <c r="A42" s="230" t="s">
        <v>90</v>
      </c>
      <c r="B42" s="207"/>
      <c r="C42" s="207"/>
      <c r="D42" s="207"/>
      <c r="E42" s="207"/>
      <c r="F42" s="207"/>
      <c r="G42" s="207"/>
      <c r="H42" s="207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7"/>
      <c r="Z42" s="207"/>
      <c r="AA42" s="207"/>
      <c r="AB42" s="207"/>
      <c r="AC42" s="207"/>
      <c r="AD42" s="207"/>
      <c r="AE42" s="207"/>
      <c r="AF42" s="207"/>
      <c r="AG42" s="207"/>
      <c r="AH42" s="207"/>
      <c r="AI42" s="207"/>
      <c r="AJ42" s="207"/>
      <c r="AK42" s="207"/>
    </row>
    <row r="43" spans="1:37" x14ac:dyDescent="0.2">
      <c r="A43" s="230" t="s">
        <v>90</v>
      </c>
      <c r="B43" s="207"/>
      <c r="C43" s="207"/>
      <c r="D43" s="207"/>
      <c r="E43" s="207"/>
      <c r="F43" s="207"/>
      <c r="G43" s="207"/>
      <c r="H43" s="207"/>
      <c r="I43" s="207"/>
      <c r="J43" s="207"/>
      <c r="K43" s="20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Y43" s="207"/>
      <c r="Z43" s="207"/>
      <c r="AA43" s="207"/>
      <c r="AB43" s="207"/>
      <c r="AC43" s="207"/>
      <c r="AD43" s="207"/>
      <c r="AE43" s="207"/>
      <c r="AF43" s="207"/>
      <c r="AG43" s="207"/>
      <c r="AH43" s="207"/>
      <c r="AI43" s="207"/>
      <c r="AJ43" s="207"/>
      <c r="AK43" s="207"/>
    </row>
    <row r="44" spans="1:37" x14ac:dyDescent="0.2">
      <c r="A44" s="231" t="s">
        <v>95</v>
      </c>
      <c r="B44" s="216"/>
      <c r="C44" s="216"/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  <c r="AH44" s="216"/>
      <c r="AI44" s="216"/>
      <c r="AJ44" s="216"/>
      <c r="AK44" s="216"/>
    </row>
    <row r="45" spans="1:37" x14ac:dyDescent="0.2">
      <c r="A45" s="230" t="s">
        <v>90</v>
      </c>
      <c r="B45" s="207"/>
      <c r="C45" s="207"/>
      <c r="D45" s="207"/>
      <c r="E45" s="207"/>
      <c r="F45" s="207"/>
      <c r="G45" s="207"/>
      <c r="H45" s="207"/>
      <c r="I45" s="207"/>
      <c r="J45" s="207"/>
      <c r="K45" s="207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Y45" s="207"/>
      <c r="Z45" s="207"/>
      <c r="AA45" s="207"/>
      <c r="AB45" s="207"/>
      <c r="AC45" s="207"/>
      <c r="AD45" s="207"/>
      <c r="AE45" s="207"/>
      <c r="AF45" s="207"/>
      <c r="AG45" s="207"/>
      <c r="AH45" s="207"/>
      <c r="AI45" s="207"/>
      <c r="AJ45" s="207"/>
      <c r="AK45" s="207"/>
    </row>
    <row r="46" spans="1:37" x14ac:dyDescent="0.2">
      <c r="A46" s="230" t="s">
        <v>90</v>
      </c>
      <c r="B46" s="207"/>
      <c r="C46" s="207"/>
      <c r="D46" s="207"/>
      <c r="E46" s="207"/>
      <c r="F46" s="207"/>
      <c r="G46" s="207"/>
      <c r="H46" s="207"/>
      <c r="I46" s="207"/>
      <c r="J46" s="207"/>
      <c r="K46" s="207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07"/>
    </row>
    <row r="47" spans="1:37" x14ac:dyDescent="0.2">
      <c r="A47" s="230" t="s">
        <v>90</v>
      </c>
      <c r="B47" s="207"/>
      <c r="C47" s="207"/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207"/>
      <c r="AB47" s="207"/>
      <c r="AC47" s="207"/>
      <c r="AD47" s="207"/>
      <c r="AE47" s="207"/>
      <c r="AF47" s="207"/>
      <c r="AG47" s="207"/>
      <c r="AH47" s="207"/>
      <c r="AI47" s="207"/>
      <c r="AJ47" s="207"/>
      <c r="AK47" s="207"/>
    </row>
    <row r="48" spans="1:37" x14ac:dyDescent="0.2">
      <c r="A48" s="231" t="s">
        <v>96</v>
      </c>
      <c r="B48" s="216"/>
      <c r="C48" s="216"/>
      <c r="D48" s="216"/>
      <c r="E48" s="216"/>
      <c r="F48" s="216"/>
      <c r="G48" s="216"/>
      <c r="H48" s="216"/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6"/>
      <c r="AI48" s="216"/>
      <c r="AJ48" s="216"/>
      <c r="AK48" s="216"/>
    </row>
    <row r="49" spans="1:37" x14ac:dyDescent="0.2">
      <c r="A49" s="230" t="s">
        <v>90</v>
      </c>
      <c r="B49" s="207"/>
      <c r="C49" s="207"/>
      <c r="D49" s="207"/>
      <c r="E49" s="207"/>
      <c r="F49" s="207"/>
      <c r="G49" s="207"/>
      <c r="H49" s="207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207"/>
      <c r="AG49" s="207"/>
      <c r="AH49" s="207"/>
      <c r="AI49" s="207"/>
      <c r="AJ49" s="207"/>
      <c r="AK49" s="207"/>
    </row>
    <row r="50" spans="1:37" x14ac:dyDescent="0.2">
      <c r="A50" s="230" t="s">
        <v>90</v>
      </c>
      <c r="B50" s="207"/>
      <c r="C50" s="207"/>
      <c r="D50" s="207"/>
      <c r="E50" s="207"/>
      <c r="F50" s="207"/>
      <c r="G50" s="207"/>
      <c r="H50" s="207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207"/>
      <c r="AK50" s="207"/>
    </row>
    <row r="51" spans="1:37" x14ac:dyDescent="0.2">
      <c r="A51" s="230" t="s">
        <v>90</v>
      </c>
      <c r="B51" s="207"/>
      <c r="C51" s="207"/>
      <c r="D51" s="207"/>
      <c r="E51" s="207"/>
      <c r="F51" s="207"/>
      <c r="G51" s="207"/>
      <c r="H51" s="207"/>
      <c r="I51" s="207"/>
      <c r="J51" s="207"/>
      <c r="K51" s="207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Y51" s="207"/>
      <c r="Z51" s="207"/>
      <c r="AA51" s="207"/>
      <c r="AB51" s="207"/>
      <c r="AC51" s="207"/>
      <c r="AD51" s="207"/>
      <c r="AE51" s="207"/>
      <c r="AF51" s="207"/>
      <c r="AG51" s="207"/>
      <c r="AH51" s="207"/>
      <c r="AI51" s="207"/>
      <c r="AJ51" s="207"/>
      <c r="AK51" s="207"/>
    </row>
  </sheetData>
  <phoneticPr fontId="22" type="noConversion"/>
  <pageMargins left="0.75" right="0.75" top="1" bottom="1" header="0.5" footer="0.5"/>
  <pageSetup paperSize="9" orientation="portrait" horizontalDpi="4294967292" verticalDpi="4294967292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U73"/>
  <sheetViews>
    <sheetView showGridLines="0" zoomScale="150" zoomScaleNormal="150" zoomScalePageLayoutView="150" workbookViewId="0">
      <pane xSplit="3" ySplit="7" topLeftCell="D8" activePane="bottomRight" state="frozenSplit"/>
      <selection activeCell="D5" sqref="D5"/>
      <selection pane="topRight" activeCell="D5" sqref="D5"/>
      <selection pane="bottomLeft" activeCell="D5" sqref="D5"/>
      <selection pane="bottomRight" activeCell="D5" sqref="D5"/>
    </sheetView>
  </sheetViews>
  <sheetFormatPr defaultColWidth="8.85546875" defaultRowHeight="11.25" x14ac:dyDescent="0.2"/>
  <cols>
    <col min="1" max="1" width="7" style="50" customWidth="1"/>
    <col min="2" max="2" width="6.42578125" style="50" customWidth="1"/>
    <col min="3" max="3" width="29.140625" style="50" customWidth="1"/>
    <col min="4" max="4" width="4.85546875" style="53" customWidth="1"/>
    <col min="5" max="10" width="3.28515625" style="52" customWidth="1"/>
    <col min="11" max="46" width="2.42578125" style="52" customWidth="1"/>
    <col min="47" max="16384" width="8.85546875" style="52"/>
  </cols>
  <sheetData>
    <row r="1" spans="1:47" ht="25.5" customHeight="1" x14ac:dyDescent="0.35">
      <c r="D1" s="51" t="s">
        <v>11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</row>
    <row r="2" spans="1:47" ht="6" customHeight="1" x14ac:dyDescent="0.2"/>
    <row r="3" spans="1:47" s="54" customFormat="1" ht="27" customHeight="1" x14ac:dyDescent="0.2">
      <c r="A3" s="50" t="s">
        <v>12</v>
      </c>
      <c r="B3" s="50"/>
      <c r="C3" s="50"/>
      <c r="D3" s="53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</row>
    <row r="4" spans="1:47" s="54" customFormat="1" ht="12" thickBot="1" x14ac:dyDescent="0.25">
      <c r="A4" s="50" t="s">
        <v>13</v>
      </c>
      <c r="B4" s="50"/>
      <c r="C4" s="50"/>
      <c r="D4" s="53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5"/>
    </row>
    <row r="5" spans="1:47" s="54" customFormat="1" ht="17.25" customHeight="1" x14ac:dyDescent="0.2">
      <c r="A5" s="56"/>
      <c r="B5" s="57"/>
      <c r="C5" s="57"/>
      <c r="D5" s="58"/>
      <c r="E5" s="58" t="s">
        <v>14</v>
      </c>
      <c r="F5" s="58"/>
      <c r="G5" s="58"/>
      <c r="H5" s="58"/>
      <c r="I5" s="58"/>
      <c r="J5" s="58" t="s">
        <v>15</v>
      </c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9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5"/>
    </row>
    <row r="6" spans="1:47" s="70" customFormat="1" ht="13.5" thickBot="1" x14ac:dyDescent="0.25">
      <c r="A6" s="60"/>
      <c r="B6" s="61"/>
      <c r="C6" s="61"/>
      <c r="D6" s="62"/>
      <c r="E6" s="63"/>
      <c r="F6" s="63"/>
      <c r="G6" s="63"/>
      <c r="H6" s="63"/>
      <c r="I6" s="63"/>
      <c r="J6" s="64" t="s">
        <v>17</v>
      </c>
      <c r="K6" s="64"/>
      <c r="L6" s="64"/>
      <c r="M6" s="64"/>
      <c r="N6" s="64"/>
      <c r="O6" s="64"/>
      <c r="P6" s="64"/>
      <c r="Q6" s="64"/>
      <c r="R6" s="64"/>
      <c r="S6" s="64"/>
      <c r="T6" s="65"/>
      <c r="U6" s="66"/>
      <c r="V6" s="64" t="s">
        <v>18</v>
      </c>
      <c r="W6" s="64"/>
      <c r="X6" s="64"/>
      <c r="Y6" s="64"/>
      <c r="Z6" s="64"/>
      <c r="AA6" s="64"/>
      <c r="AB6" s="64"/>
      <c r="AC6" s="64"/>
      <c r="AD6" s="64"/>
      <c r="AE6" s="64"/>
      <c r="AF6" s="64"/>
      <c r="AG6" s="67"/>
      <c r="AH6" s="64" t="s">
        <v>19</v>
      </c>
      <c r="AI6" s="64"/>
      <c r="AJ6" s="64"/>
      <c r="AK6" s="64"/>
      <c r="AL6" s="64"/>
      <c r="AM6" s="64"/>
      <c r="AN6" s="64"/>
      <c r="AO6" s="64"/>
      <c r="AP6" s="64"/>
      <c r="AQ6" s="64"/>
      <c r="AR6" s="65"/>
      <c r="AS6" s="68"/>
      <c r="AT6" s="69"/>
    </row>
    <row r="7" spans="1:47" s="54" customFormat="1" ht="33" customHeight="1" thickBot="1" x14ac:dyDescent="0.25">
      <c r="A7" s="60" t="s">
        <v>20</v>
      </c>
      <c r="B7" s="71"/>
      <c r="C7" s="71"/>
      <c r="D7" s="72" t="s">
        <v>21</v>
      </c>
      <c r="E7" s="72"/>
      <c r="F7" s="73"/>
      <c r="G7" s="73"/>
      <c r="H7" s="73"/>
      <c r="I7" s="162"/>
      <c r="J7" s="167">
        <v>1</v>
      </c>
      <c r="K7" s="154">
        <v>2</v>
      </c>
      <c r="L7" s="154">
        <v>3</v>
      </c>
      <c r="M7" s="154">
        <v>4</v>
      </c>
      <c r="N7" s="154">
        <v>5</v>
      </c>
      <c r="O7" s="154">
        <v>6</v>
      </c>
      <c r="P7" s="154">
        <v>7</v>
      </c>
      <c r="Q7" s="154">
        <v>8</v>
      </c>
      <c r="R7" s="154">
        <v>9</v>
      </c>
      <c r="S7" s="154">
        <v>10</v>
      </c>
      <c r="T7" s="154">
        <v>11</v>
      </c>
      <c r="U7" s="155">
        <v>12</v>
      </c>
      <c r="V7" s="167">
        <v>13</v>
      </c>
      <c r="W7" s="154">
        <v>14</v>
      </c>
      <c r="X7" s="154">
        <v>15</v>
      </c>
      <c r="Y7" s="154">
        <v>16</v>
      </c>
      <c r="Z7" s="154">
        <v>17</v>
      </c>
      <c r="AA7" s="154">
        <v>18</v>
      </c>
      <c r="AB7" s="154">
        <v>19</v>
      </c>
      <c r="AC7" s="154">
        <v>20</v>
      </c>
      <c r="AD7" s="154">
        <v>21</v>
      </c>
      <c r="AE7" s="154">
        <v>22</v>
      </c>
      <c r="AF7" s="154">
        <v>23</v>
      </c>
      <c r="AG7" s="155">
        <v>24</v>
      </c>
      <c r="AH7" s="167">
        <f t="shared" ref="AH7:AS7" si="0">AG7+1</f>
        <v>25</v>
      </c>
      <c r="AI7" s="154">
        <f t="shared" si="0"/>
        <v>26</v>
      </c>
      <c r="AJ7" s="154">
        <f t="shared" si="0"/>
        <v>27</v>
      </c>
      <c r="AK7" s="154">
        <f t="shared" si="0"/>
        <v>28</v>
      </c>
      <c r="AL7" s="154">
        <f t="shared" si="0"/>
        <v>29</v>
      </c>
      <c r="AM7" s="154">
        <f t="shared" si="0"/>
        <v>30</v>
      </c>
      <c r="AN7" s="154">
        <f t="shared" si="0"/>
        <v>31</v>
      </c>
      <c r="AO7" s="154">
        <f t="shared" si="0"/>
        <v>32</v>
      </c>
      <c r="AP7" s="154">
        <f t="shared" si="0"/>
        <v>33</v>
      </c>
      <c r="AQ7" s="154">
        <f t="shared" si="0"/>
        <v>34</v>
      </c>
      <c r="AR7" s="154">
        <f t="shared" si="0"/>
        <v>35</v>
      </c>
      <c r="AS7" s="155">
        <f t="shared" si="0"/>
        <v>36</v>
      </c>
    </row>
    <row r="8" spans="1:47" s="77" customFormat="1" ht="24" customHeight="1" thickBot="1" x14ac:dyDescent="0.25">
      <c r="A8" s="74" t="s">
        <v>22</v>
      </c>
      <c r="B8" s="75"/>
      <c r="C8" s="75"/>
      <c r="D8" s="159">
        <f t="shared" ref="D8:I8" si="1">D30+D33+D39+D43+D53+D63+D69</f>
        <v>0</v>
      </c>
      <c r="E8" s="76">
        <f t="shared" si="1"/>
        <v>0</v>
      </c>
      <c r="F8" s="76">
        <f t="shared" si="1"/>
        <v>0</v>
      </c>
      <c r="G8" s="76">
        <f t="shared" si="1"/>
        <v>0</v>
      </c>
      <c r="H8" s="76">
        <f t="shared" si="1"/>
        <v>0</v>
      </c>
      <c r="I8" s="160">
        <f t="shared" si="1"/>
        <v>0</v>
      </c>
      <c r="J8" s="168"/>
      <c r="K8" s="80"/>
      <c r="L8" s="80"/>
      <c r="M8" s="80"/>
      <c r="N8" s="80"/>
      <c r="O8" s="80"/>
      <c r="P8" s="80"/>
      <c r="Q8" s="80"/>
      <c r="R8" s="80"/>
      <c r="S8" s="80"/>
      <c r="T8" s="80"/>
      <c r="U8" s="81"/>
      <c r="V8" s="169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70"/>
      <c r="AH8" s="169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70"/>
    </row>
    <row r="9" spans="1:47" s="77" customFormat="1" ht="15" customHeight="1" x14ac:dyDescent="0.2">
      <c r="A9" s="148"/>
      <c r="B9" s="149"/>
      <c r="C9" s="174"/>
      <c r="D9" s="78"/>
      <c r="E9" s="78"/>
      <c r="F9" s="78"/>
      <c r="G9" s="78"/>
      <c r="H9" s="78"/>
      <c r="I9" s="163"/>
      <c r="J9" s="168"/>
      <c r="K9" s="80"/>
      <c r="L9" s="80"/>
      <c r="M9" s="80"/>
      <c r="N9" s="80"/>
      <c r="O9" s="80"/>
      <c r="P9" s="80"/>
      <c r="Q9" s="80"/>
      <c r="R9" s="80"/>
      <c r="S9" s="80"/>
      <c r="T9" s="80"/>
      <c r="U9" s="81"/>
      <c r="V9" s="168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1"/>
      <c r="AH9" s="168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1"/>
    </row>
    <row r="10" spans="1:47" s="77" customFormat="1" ht="15" customHeight="1" x14ac:dyDescent="0.2">
      <c r="A10" s="148"/>
      <c r="B10" s="149"/>
      <c r="C10" s="147"/>
      <c r="D10" s="78"/>
      <c r="E10" s="78"/>
      <c r="F10" s="78"/>
      <c r="G10" s="78"/>
      <c r="H10" s="78"/>
      <c r="I10" s="163"/>
      <c r="J10" s="168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1"/>
      <c r="V10" s="168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1"/>
      <c r="AH10" s="168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1"/>
    </row>
    <row r="11" spans="1:47" s="77" customFormat="1" ht="15" customHeight="1" x14ac:dyDescent="0.2">
      <c r="A11" s="148"/>
      <c r="B11" s="149"/>
      <c r="C11" s="147"/>
      <c r="D11" s="78"/>
      <c r="E11" s="78"/>
      <c r="F11" s="78"/>
      <c r="G11" s="78"/>
      <c r="H11" s="78"/>
      <c r="I11" s="163"/>
      <c r="J11" s="168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1"/>
      <c r="V11" s="168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1"/>
      <c r="AH11" s="168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1"/>
    </row>
    <row r="12" spans="1:47" s="77" customFormat="1" ht="15" customHeight="1" x14ac:dyDescent="0.2">
      <c r="A12" s="148"/>
      <c r="B12" s="149"/>
      <c r="C12" s="147"/>
      <c r="D12" s="78"/>
      <c r="E12" s="78"/>
      <c r="F12" s="78"/>
      <c r="G12" s="78"/>
      <c r="H12" s="78"/>
      <c r="I12" s="163"/>
      <c r="J12" s="168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1"/>
      <c r="V12" s="168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1"/>
      <c r="AH12" s="168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1"/>
    </row>
    <row r="13" spans="1:47" s="77" customFormat="1" ht="15" customHeight="1" x14ac:dyDescent="0.2">
      <c r="A13" s="148"/>
      <c r="B13" s="149"/>
      <c r="C13" s="147"/>
      <c r="D13" s="78"/>
      <c r="E13" s="78"/>
      <c r="F13" s="78"/>
      <c r="G13" s="78"/>
      <c r="H13" s="78"/>
      <c r="I13" s="163"/>
      <c r="J13" s="168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1"/>
      <c r="V13" s="168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1"/>
      <c r="AH13" s="168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1"/>
    </row>
    <row r="14" spans="1:47" s="77" customFormat="1" ht="15" customHeight="1" x14ac:dyDescent="0.2">
      <c r="A14" s="148"/>
      <c r="B14" s="149"/>
      <c r="C14" s="147"/>
      <c r="D14" s="78"/>
      <c r="E14" s="78"/>
      <c r="F14" s="78"/>
      <c r="G14" s="78"/>
      <c r="H14" s="78"/>
      <c r="I14" s="163"/>
      <c r="J14" s="168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1"/>
      <c r="V14" s="168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1"/>
      <c r="AH14" s="168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1"/>
    </row>
    <row r="15" spans="1:47" s="77" customFormat="1" ht="15" customHeight="1" x14ac:dyDescent="0.2">
      <c r="A15" s="148"/>
      <c r="B15" s="149"/>
      <c r="C15" s="147"/>
      <c r="D15" s="78"/>
      <c r="E15" s="78"/>
      <c r="F15" s="78"/>
      <c r="G15" s="78"/>
      <c r="H15" s="78"/>
      <c r="I15" s="163"/>
      <c r="J15" s="168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1"/>
      <c r="V15" s="168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1"/>
      <c r="AH15" s="168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1"/>
    </row>
    <row r="16" spans="1:47" s="77" customFormat="1" ht="15" customHeight="1" x14ac:dyDescent="0.2">
      <c r="A16" s="148"/>
      <c r="B16" s="149"/>
      <c r="C16" s="147"/>
      <c r="D16" s="78"/>
      <c r="E16" s="78"/>
      <c r="F16" s="78"/>
      <c r="G16" s="78"/>
      <c r="H16" s="78"/>
      <c r="I16" s="163"/>
      <c r="J16" s="168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1"/>
      <c r="V16" s="168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1"/>
      <c r="AH16" s="168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1"/>
    </row>
    <row r="17" spans="1:46" s="77" customFormat="1" ht="15" customHeight="1" x14ac:dyDescent="0.2">
      <c r="A17" s="148"/>
      <c r="B17" s="149"/>
      <c r="C17" s="174"/>
      <c r="D17" s="78"/>
      <c r="E17" s="78"/>
      <c r="F17" s="78"/>
      <c r="G17" s="78"/>
      <c r="H17" s="78"/>
      <c r="I17" s="163"/>
      <c r="J17" s="168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1"/>
      <c r="V17" s="168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1"/>
      <c r="AH17" s="168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1"/>
    </row>
    <row r="18" spans="1:46" s="77" customFormat="1" ht="15.75" customHeight="1" x14ac:dyDescent="0.2">
      <c r="A18" s="150"/>
      <c r="B18" s="151"/>
      <c r="C18" s="152"/>
      <c r="D18" s="79"/>
      <c r="E18" s="79"/>
      <c r="F18" s="79"/>
      <c r="G18" s="79"/>
      <c r="H18" s="79"/>
      <c r="I18" s="164"/>
      <c r="J18" s="168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1"/>
      <c r="V18" s="168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1"/>
      <c r="AH18" s="168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1"/>
    </row>
    <row r="19" spans="1:46" s="77" customFormat="1" ht="15.75" customHeight="1" x14ac:dyDescent="0.2">
      <c r="A19" s="148"/>
      <c r="B19" s="149"/>
      <c r="C19" s="174"/>
      <c r="D19" s="156"/>
      <c r="E19" s="156"/>
      <c r="F19" s="156"/>
      <c r="G19" s="156"/>
      <c r="H19" s="156"/>
      <c r="I19" s="165"/>
      <c r="J19" s="168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1"/>
      <c r="V19" s="168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1"/>
      <c r="AH19" s="168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1"/>
    </row>
    <row r="20" spans="1:46" s="77" customFormat="1" ht="15.75" customHeight="1" x14ac:dyDescent="0.2">
      <c r="A20" s="148"/>
      <c r="B20" s="149"/>
      <c r="C20" s="147"/>
      <c r="D20" s="156"/>
      <c r="E20" s="156"/>
      <c r="F20" s="156"/>
      <c r="G20" s="156"/>
      <c r="H20" s="156"/>
      <c r="I20" s="165"/>
      <c r="J20" s="168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1"/>
      <c r="V20" s="168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1"/>
      <c r="AH20" s="168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1"/>
    </row>
    <row r="21" spans="1:46" s="77" customFormat="1" ht="15.75" customHeight="1" x14ac:dyDescent="0.2">
      <c r="A21" s="148"/>
      <c r="B21" s="149"/>
      <c r="C21" s="174"/>
      <c r="D21" s="156"/>
      <c r="E21" s="156"/>
      <c r="F21" s="156"/>
      <c r="G21" s="156"/>
      <c r="H21" s="156"/>
      <c r="I21" s="165"/>
      <c r="J21" s="168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1"/>
      <c r="V21" s="168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1"/>
      <c r="AH21" s="168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1"/>
    </row>
    <row r="22" spans="1:46" s="77" customFormat="1" ht="15.75" customHeight="1" x14ac:dyDescent="0.2">
      <c r="A22" s="148"/>
      <c r="B22" s="149"/>
      <c r="C22" s="147"/>
      <c r="D22" s="156"/>
      <c r="E22" s="156"/>
      <c r="F22" s="156"/>
      <c r="G22" s="156"/>
      <c r="H22" s="156"/>
      <c r="I22" s="165"/>
      <c r="J22" s="168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1"/>
      <c r="V22" s="168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1"/>
      <c r="AH22" s="168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1"/>
    </row>
    <row r="23" spans="1:46" s="77" customFormat="1" ht="15.75" customHeight="1" x14ac:dyDescent="0.2">
      <c r="A23" s="148"/>
      <c r="B23" s="149"/>
      <c r="C23" s="147"/>
      <c r="D23" s="156"/>
      <c r="E23" s="156"/>
      <c r="F23" s="156"/>
      <c r="G23" s="156"/>
      <c r="H23" s="156"/>
      <c r="I23" s="165"/>
      <c r="J23" s="168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1"/>
      <c r="V23" s="168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1"/>
      <c r="AH23" s="168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1"/>
    </row>
    <row r="24" spans="1:46" s="77" customFormat="1" ht="15.75" customHeight="1" x14ac:dyDescent="0.2">
      <c r="A24" s="148"/>
      <c r="B24" s="149"/>
      <c r="C24" s="147"/>
      <c r="D24" s="156"/>
      <c r="E24" s="156"/>
      <c r="F24" s="156"/>
      <c r="G24" s="156"/>
      <c r="H24" s="156"/>
      <c r="I24" s="165"/>
      <c r="J24" s="168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1"/>
      <c r="V24" s="168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1"/>
      <c r="AH24" s="168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1"/>
    </row>
    <row r="25" spans="1:46" s="77" customFormat="1" ht="15.75" customHeight="1" x14ac:dyDescent="0.2">
      <c r="A25" s="148"/>
      <c r="B25" s="149"/>
      <c r="C25" s="147"/>
      <c r="D25" s="156"/>
      <c r="E25" s="156"/>
      <c r="F25" s="156"/>
      <c r="G25" s="156"/>
      <c r="H25" s="156"/>
      <c r="I25" s="165"/>
      <c r="J25" s="168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1"/>
      <c r="V25" s="168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1"/>
      <c r="AH25" s="168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1"/>
    </row>
    <row r="26" spans="1:46" s="77" customFormat="1" ht="15.75" customHeight="1" x14ac:dyDescent="0.2">
      <c r="A26" s="148"/>
      <c r="B26" s="149"/>
      <c r="C26" s="147"/>
      <c r="D26" s="156"/>
      <c r="E26" s="156"/>
      <c r="F26" s="156"/>
      <c r="G26" s="156"/>
      <c r="H26" s="156"/>
      <c r="I26" s="165"/>
      <c r="J26" s="168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1"/>
      <c r="V26" s="168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1"/>
      <c r="AH26" s="168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1"/>
    </row>
    <row r="27" spans="1:46" s="77" customFormat="1" ht="15.75" customHeight="1" x14ac:dyDescent="0.2">
      <c r="A27" s="148"/>
      <c r="B27" s="149"/>
      <c r="C27" s="147"/>
      <c r="D27" s="156"/>
      <c r="E27" s="156"/>
      <c r="F27" s="156"/>
      <c r="G27" s="156"/>
      <c r="H27" s="156"/>
      <c r="I27" s="165"/>
      <c r="J27" s="168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1"/>
      <c r="V27" s="168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1"/>
      <c r="AH27" s="168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1"/>
    </row>
    <row r="28" spans="1:46" s="77" customFormat="1" ht="15.75" customHeight="1" x14ac:dyDescent="0.2">
      <c r="A28" s="148"/>
      <c r="B28" s="149"/>
      <c r="C28" s="147"/>
      <c r="D28" s="156"/>
      <c r="E28" s="156"/>
      <c r="F28" s="156"/>
      <c r="G28" s="156"/>
      <c r="H28" s="156"/>
      <c r="I28" s="165"/>
      <c r="J28" s="168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1"/>
      <c r="V28" s="168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1"/>
      <c r="AH28" s="168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1"/>
    </row>
    <row r="29" spans="1:46" s="77" customFormat="1" ht="12.75" customHeight="1" thickBot="1" x14ac:dyDescent="0.25">
      <c r="A29" s="148"/>
      <c r="B29" s="149"/>
      <c r="C29" s="147"/>
      <c r="D29" s="156"/>
      <c r="E29" s="156"/>
      <c r="F29" s="156"/>
      <c r="G29" s="156"/>
      <c r="H29" s="156"/>
      <c r="I29" s="165"/>
      <c r="J29" s="168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1"/>
      <c r="V29" s="168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1"/>
      <c r="AH29" s="168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1"/>
    </row>
    <row r="30" spans="1:46" s="54" customFormat="1" ht="21.75" customHeight="1" thickBot="1" x14ac:dyDescent="0.25">
      <c r="A30" s="309" t="s">
        <v>32</v>
      </c>
      <c r="B30" s="271"/>
      <c r="C30" s="272"/>
      <c r="D30" s="157">
        <f>SUM(E30:I30)</f>
        <v>0</v>
      </c>
      <c r="E30" s="158">
        <f>SUM(E31:E32)</f>
        <v>0</v>
      </c>
      <c r="F30" s="158">
        <f>SUM(F31:F32)</f>
        <v>0</v>
      </c>
      <c r="G30" s="158">
        <f>SUM(G31:G32)</f>
        <v>0</v>
      </c>
      <c r="H30" s="158">
        <f>SUM(H31:H32)</f>
        <v>0</v>
      </c>
      <c r="I30" s="166">
        <f>SUM(I31:I32)</f>
        <v>0</v>
      </c>
      <c r="J30" s="83"/>
      <c r="K30" s="84"/>
      <c r="L30" s="84"/>
      <c r="M30" s="84"/>
      <c r="N30" s="84" t="s">
        <v>23</v>
      </c>
      <c r="O30" s="84"/>
      <c r="P30" s="84"/>
      <c r="Q30" s="84"/>
      <c r="R30" s="85"/>
      <c r="S30" s="85"/>
      <c r="T30" s="85"/>
      <c r="U30" s="86"/>
      <c r="V30" s="171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6"/>
      <c r="AH30" s="171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6"/>
    </row>
    <row r="31" spans="1:46" s="54" customFormat="1" ht="12" thickBot="1" x14ac:dyDescent="0.25">
      <c r="A31" s="91"/>
      <c r="B31" s="65"/>
      <c r="C31" s="65"/>
      <c r="D31" s="82"/>
      <c r="E31" s="92"/>
      <c r="F31" s="92"/>
      <c r="G31" s="92"/>
      <c r="H31" s="92"/>
      <c r="I31" s="92"/>
      <c r="J31" s="88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9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9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93"/>
      <c r="AT31" s="55"/>
    </row>
    <row r="32" spans="1:46" s="54" customFormat="1" ht="12" thickBot="1" x14ac:dyDescent="0.25">
      <c r="A32" s="91"/>
      <c r="B32" s="65"/>
      <c r="C32" s="65"/>
      <c r="D32" s="82"/>
      <c r="E32" s="92"/>
      <c r="F32" s="92"/>
      <c r="G32" s="92"/>
      <c r="H32" s="92"/>
      <c r="I32" s="92"/>
      <c r="J32" s="88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9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9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93"/>
      <c r="AT32" s="55"/>
    </row>
    <row r="33" spans="1:46" s="54" customFormat="1" ht="22.5" customHeight="1" thickBot="1" x14ac:dyDescent="0.25">
      <c r="A33" s="309" t="s">
        <v>42</v>
      </c>
      <c r="B33" s="271"/>
      <c r="C33" s="271"/>
      <c r="D33" s="82">
        <f>SUM(E33:I33)</f>
        <v>0</v>
      </c>
      <c r="E33" s="96">
        <f>SUM(E34:E38)</f>
        <v>0</v>
      </c>
      <c r="F33" s="96">
        <f>SUM(F34:F38)</f>
        <v>0</v>
      </c>
      <c r="G33" s="96">
        <f>SUM(G34:G38)</f>
        <v>0</v>
      </c>
      <c r="H33" s="96">
        <f>SUM(H34:H38)</f>
        <v>0</v>
      </c>
      <c r="I33" s="96">
        <f>SUM(I34:I38)</f>
        <v>0</v>
      </c>
      <c r="J33" s="97"/>
      <c r="K33" s="97"/>
      <c r="L33" s="97"/>
      <c r="M33" s="97"/>
      <c r="N33" s="97"/>
      <c r="O33" s="97"/>
      <c r="P33" s="97" t="s">
        <v>51</v>
      </c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3"/>
      <c r="AT33" s="55"/>
    </row>
    <row r="34" spans="1:46" s="54" customFormat="1" ht="12" thickBot="1" x14ac:dyDescent="0.25">
      <c r="A34" s="91"/>
      <c r="B34" s="65"/>
      <c r="C34" s="65"/>
      <c r="D34" s="82"/>
      <c r="E34" s="92"/>
      <c r="F34" s="92"/>
      <c r="G34" s="92"/>
      <c r="H34" s="92"/>
      <c r="I34" s="92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9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9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93"/>
      <c r="AT34" s="55"/>
    </row>
    <row r="35" spans="1:46" s="109" customFormat="1" ht="12" thickBot="1" x14ac:dyDescent="0.25">
      <c r="A35" s="139"/>
      <c r="B35" s="140"/>
      <c r="C35" s="140"/>
      <c r="D35" s="141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100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100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142"/>
    </row>
    <row r="36" spans="1:46" s="109" customFormat="1" ht="12" thickBot="1" x14ac:dyDescent="0.25">
      <c r="A36" s="139"/>
      <c r="B36" s="140"/>
      <c r="C36" s="140"/>
      <c r="D36" s="141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100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142"/>
    </row>
    <row r="37" spans="1:46" s="109" customFormat="1" ht="12" thickBot="1" x14ac:dyDescent="0.25">
      <c r="A37" s="139"/>
      <c r="B37" s="140"/>
      <c r="C37" s="140"/>
      <c r="D37" s="141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100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100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142"/>
    </row>
    <row r="38" spans="1:46" s="109" customFormat="1" ht="12" thickBot="1" x14ac:dyDescent="0.25">
      <c r="A38" s="139"/>
      <c r="B38" s="140"/>
      <c r="C38" s="140"/>
      <c r="D38" s="141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100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100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142"/>
    </row>
    <row r="39" spans="1:46" s="54" customFormat="1" ht="22.5" customHeight="1" thickBot="1" x14ac:dyDescent="0.25">
      <c r="A39" s="101" t="s">
        <v>52</v>
      </c>
      <c r="B39" s="95"/>
      <c r="C39" s="102"/>
      <c r="D39" s="82">
        <f>SUM(E39:I39)</f>
        <v>0</v>
      </c>
      <c r="E39" s="96">
        <f>SUM(E40:E42)</f>
        <v>0</v>
      </c>
      <c r="F39" s="96">
        <f>SUM(F40:F42)</f>
        <v>0</v>
      </c>
      <c r="G39" s="96">
        <f>SUM(G40:G42)</f>
        <v>0</v>
      </c>
      <c r="H39" s="96">
        <f>SUM(H40:H42)</f>
        <v>0</v>
      </c>
      <c r="I39" s="96">
        <f>SUM(I40:I42)</f>
        <v>0</v>
      </c>
      <c r="J39" s="146"/>
      <c r="K39" s="146"/>
      <c r="L39" s="146"/>
      <c r="M39" s="146"/>
      <c r="N39" s="146"/>
      <c r="O39" s="146"/>
      <c r="P39" s="97" t="s">
        <v>26</v>
      </c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3"/>
      <c r="AT39" s="55"/>
    </row>
    <row r="40" spans="1:46" s="109" customFormat="1" ht="12.75" customHeight="1" thickBot="1" x14ac:dyDescent="0.25">
      <c r="A40" s="143"/>
      <c r="B40" s="144"/>
      <c r="C40" s="144"/>
      <c r="D40" s="141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9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9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93"/>
      <c r="AT40" s="142"/>
    </row>
    <row r="41" spans="1:46" s="109" customFormat="1" ht="12.75" customHeight="1" thickBot="1" x14ac:dyDescent="0.25">
      <c r="A41" s="143"/>
      <c r="B41" s="144"/>
      <c r="C41" s="144"/>
      <c r="D41" s="141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9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9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93"/>
      <c r="AT41" s="142"/>
    </row>
    <row r="42" spans="1:46" s="109" customFormat="1" ht="26.25" customHeight="1" thickBot="1" x14ac:dyDescent="0.25">
      <c r="A42" s="139"/>
      <c r="B42" s="308"/>
      <c r="C42" s="308"/>
      <c r="D42" s="141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100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100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142"/>
    </row>
    <row r="43" spans="1:46" s="54" customFormat="1" ht="22.5" customHeight="1" thickBot="1" x14ac:dyDescent="0.25">
      <c r="A43" s="101" t="s">
        <v>53</v>
      </c>
      <c r="B43" s="95"/>
      <c r="C43" s="102"/>
      <c r="D43" s="82">
        <f>SUM(E43:I43)</f>
        <v>0</v>
      </c>
      <c r="E43" s="96">
        <f>SUM(E44:E52)</f>
        <v>0</v>
      </c>
      <c r="F43" s="96">
        <f>SUM(F44:F52)</f>
        <v>0</v>
      </c>
      <c r="G43" s="96">
        <f>SUM(G44:G52)</f>
        <v>0</v>
      </c>
      <c r="H43" s="96">
        <f>SUM(H44:H52)</f>
        <v>0</v>
      </c>
      <c r="I43" s="96">
        <f>SUM(I44:I52)</f>
        <v>0</v>
      </c>
      <c r="J43" s="97"/>
      <c r="K43" s="97"/>
      <c r="L43" s="97"/>
      <c r="M43" s="97"/>
      <c r="N43" s="97"/>
      <c r="O43" s="97"/>
      <c r="P43" s="97" t="s">
        <v>51</v>
      </c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103"/>
    </row>
    <row r="44" spans="1:46" s="54" customFormat="1" ht="12.75" customHeight="1" thickBot="1" x14ac:dyDescent="0.25">
      <c r="A44" s="145"/>
      <c r="B44" s="104"/>
      <c r="C44" s="104"/>
      <c r="D44" s="82"/>
      <c r="E44" s="105"/>
      <c r="F44" s="105"/>
      <c r="G44" s="105"/>
      <c r="H44" s="105"/>
      <c r="I44" s="105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7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7"/>
      <c r="AH44" s="106"/>
      <c r="AI44" s="106"/>
      <c r="AJ44" s="106"/>
      <c r="AK44" s="106"/>
      <c r="AL44" s="106"/>
      <c r="AM44" s="106"/>
      <c r="AN44" s="106"/>
      <c r="AO44" s="106"/>
      <c r="AP44" s="106"/>
      <c r="AQ44" s="106"/>
      <c r="AR44" s="106"/>
      <c r="AS44" s="106"/>
      <c r="AT44" s="55"/>
    </row>
    <row r="45" spans="1:46" s="109" customFormat="1" ht="24" customHeight="1" thickBot="1" x14ac:dyDescent="0.25">
      <c r="A45" s="172"/>
      <c r="B45" s="303"/>
      <c r="C45" s="304"/>
      <c r="D45" s="82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9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9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142"/>
    </row>
    <row r="46" spans="1:46" s="109" customFormat="1" ht="25.5" customHeight="1" thickBot="1" x14ac:dyDescent="0.25">
      <c r="A46" s="172"/>
      <c r="B46" s="303"/>
      <c r="C46" s="304"/>
      <c r="D46" s="82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100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100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142"/>
    </row>
    <row r="47" spans="1:46" s="109" customFormat="1" ht="18" customHeight="1" thickBot="1" x14ac:dyDescent="0.25">
      <c r="A47" s="173"/>
      <c r="B47" s="303"/>
      <c r="C47" s="304"/>
      <c r="D47" s="82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9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9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93"/>
      <c r="AT47" s="142"/>
    </row>
    <row r="48" spans="1:46" s="109" customFormat="1" ht="24" customHeight="1" thickBot="1" x14ac:dyDescent="0.25">
      <c r="A48" s="173"/>
      <c r="B48" s="303"/>
      <c r="C48" s="304"/>
      <c r="D48" s="82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9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9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93"/>
      <c r="AT48" s="142"/>
    </row>
    <row r="49" spans="1:46" s="109" customFormat="1" ht="23.25" customHeight="1" thickBot="1" x14ac:dyDescent="0.25">
      <c r="A49" s="173"/>
      <c r="B49" s="303"/>
      <c r="C49" s="304"/>
      <c r="D49" s="82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9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9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93"/>
      <c r="AT49" s="142"/>
    </row>
    <row r="50" spans="1:46" s="109" customFormat="1" ht="24" customHeight="1" thickBot="1" x14ac:dyDescent="0.25">
      <c r="A50" s="173"/>
      <c r="B50" s="303"/>
      <c r="C50" s="304"/>
      <c r="D50" s="82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9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9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93"/>
      <c r="AT50" s="142"/>
    </row>
    <row r="51" spans="1:46" s="109" customFormat="1" ht="23.25" customHeight="1" thickBot="1" x14ac:dyDescent="0.25">
      <c r="A51" s="172"/>
      <c r="B51" s="303"/>
      <c r="C51" s="304"/>
      <c r="D51" s="82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100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100"/>
      <c r="AH51" s="99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142"/>
    </row>
    <row r="52" spans="1:46" s="109" customFormat="1" ht="13.5" thickBot="1" x14ac:dyDescent="0.25">
      <c r="A52" s="139"/>
      <c r="B52" s="303"/>
      <c r="C52" s="304"/>
      <c r="D52" s="82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100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100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142"/>
    </row>
    <row r="53" spans="1:46" s="54" customFormat="1" ht="22.5" customHeight="1" thickBot="1" x14ac:dyDescent="0.25">
      <c r="A53" s="101" t="s">
        <v>54</v>
      </c>
      <c r="B53" s="95"/>
      <c r="C53" s="102"/>
      <c r="D53" s="82">
        <f>SUM(E53:I53)</f>
        <v>0</v>
      </c>
      <c r="E53" s="96">
        <f>SUM(E54:E61)</f>
        <v>0</v>
      </c>
      <c r="F53" s="96">
        <f>SUM(F54:F61)</f>
        <v>0</v>
      </c>
      <c r="G53" s="96">
        <f>SUM(G54:G61)</f>
        <v>0</v>
      </c>
      <c r="H53" s="96">
        <f>SUM(H54:H61)</f>
        <v>0</v>
      </c>
      <c r="I53" s="96">
        <f>SUM(I54:I61)</f>
        <v>0</v>
      </c>
      <c r="J53" s="97"/>
      <c r="K53" s="97"/>
      <c r="L53" s="97"/>
      <c r="M53" s="97"/>
      <c r="N53" s="97"/>
      <c r="O53" s="97"/>
      <c r="P53" s="97" t="s">
        <v>51</v>
      </c>
      <c r="Q53" s="97"/>
      <c r="R53" s="97"/>
      <c r="S53" s="97"/>
      <c r="T53" s="97"/>
      <c r="U53" s="97"/>
      <c r="V53" s="97"/>
      <c r="W53" s="97"/>
      <c r="X53" s="97"/>
      <c r="Y53" s="97"/>
      <c r="Z53" s="108"/>
      <c r="AA53" s="97"/>
      <c r="AB53" s="97"/>
      <c r="AC53" s="97"/>
      <c r="AD53" s="97"/>
      <c r="AE53" s="97"/>
      <c r="AF53" s="97"/>
      <c r="AG53" s="97"/>
      <c r="AH53" s="98"/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S53" s="93"/>
      <c r="AT53" s="55"/>
    </row>
    <row r="54" spans="1:46" s="54" customFormat="1" ht="12" thickBot="1" x14ac:dyDescent="0.25">
      <c r="A54" s="110"/>
      <c r="B54" s="65"/>
      <c r="C54" s="65"/>
      <c r="D54" s="82"/>
      <c r="E54" s="92"/>
      <c r="F54" s="92"/>
      <c r="G54" s="92"/>
      <c r="H54" s="92"/>
      <c r="I54" s="92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9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9"/>
      <c r="AH54" s="87"/>
      <c r="AI54" s="87"/>
      <c r="AJ54" s="87"/>
      <c r="AK54" s="87"/>
      <c r="AL54" s="87"/>
      <c r="AM54" s="87"/>
      <c r="AN54" s="87"/>
      <c r="AO54" s="87"/>
      <c r="AP54" s="87"/>
      <c r="AQ54" s="87"/>
      <c r="AR54" s="87"/>
      <c r="AS54" s="99"/>
      <c r="AT54" s="55"/>
    </row>
    <row r="55" spans="1:46" s="54" customFormat="1" ht="24" customHeight="1" thickBot="1" x14ac:dyDescent="0.25">
      <c r="A55" s="139"/>
      <c r="B55" s="303"/>
      <c r="C55" s="304"/>
      <c r="D55" s="141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100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100"/>
      <c r="AH55" s="99"/>
      <c r="AI55" s="99"/>
      <c r="AJ55" s="99"/>
      <c r="AK55" s="99"/>
      <c r="AL55" s="99"/>
      <c r="AM55" s="99"/>
      <c r="AN55" s="99"/>
      <c r="AO55" s="99"/>
      <c r="AP55" s="99"/>
      <c r="AQ55" s="99"/>
      <c r="AR55" s="99"/>
      <c r="AS55" s="99"/>
      <c r="AT55" s="55"/>
    </row>
    <row r="56" spans="1:46" s="54" customFormat="1" ht="27" customHeight="1" thickBot="1" x14ac:dyDescent="0.25">
      <c r="A56" s="139"/>
      <c r="B56" s="303"/>
      <c r="C56" s="304"/>
      <c r="D56" s="141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100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100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55"/>
    </row>
    <row r="57" spans="1:46" s="54" customFormat="1" ht="24" customHeight="1" thickBot="1" x14ac:dyDescent="0.25">
      <c r="A57" s="153"/>
      <c r="B57" s="303"/>
      <c r="C57" s="304"/>
      <c r="D57" s="141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100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100"/>
      <c r="AH57" s="99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55"/>
    </row>
    <row r="58" spans="1:46" s="54" customFormat="1" ht="20.25" customHeight="1" thickBot="1" x14ac:dyDescent="0.25">
      <c r="A58" s="139"/>
      <c r="B58" s="303"/>
      <c r="C58" s="304"/>
      <c r="D58" s="141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100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100"/>
      <c r="AH58" s="99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55"/>
    </row>
    <row r="59" spans="1:46" s="54" customFormat="1" ht="21.75" customHeight="1" thickBot="1" x14ac:dyDescent="0.25">
      <c r="A59" s="139"/>
      <c r="B59" s="303"/>
      <c r="C59" s="304"/>
      <c r="D59" s="141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00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100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  <c r="AT59" s="55"/>
    </row>
    <row r="60" spans="1:46" s="54" customFormat="1" ht="21.75" customHeight="1" thickBot="1" x14ac:dyDescent="0.25">
      <c r="A60" s="153"/>
      <c r="B60" s="303"/>
      <c r="C60" s="304"/>
      <c r="D60" s="141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100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100"/>
      <c r="AH60" s="99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55"/>
    </row>
    <row r="61" spans="1:46" s="54" customFormat="1" ht="24.75" customHeight="1" thickBot="1" x14ac:dyDescent="0.25">
      <c r="A61" s="139"/>
      <c r="B61" s="303"/>
      <c r="C61" s="304"/>
      <c r="D61" s="141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100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100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55"/>
    </row>
    <row r="62" spans="1:46" s="54" customFormat="1" ht="24.75" customHeight="1" thickBot="1" x14ac:dyDescent="0.25">
      <c r="A62" s="175"/>
      <c r="B62" s="303"/>
      <c r="C62" s="304"/>
      <c r="D62" s="141"/>
      <c r="E62" s="94"/>
      <c r="F62" s="94"/>
      <c r="G62" s="94"/>
      <c r="H62" s="94"/>
      <c r="I62" s="94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  <c r="AO62" s="109"/>
      <c r="AP62" s="109"/>
      <c r="AQ62" s="109"/>
      <c r="AR62" s="109"/>
      <c r="AS62" s="109"/>
      <c r="AT62" s="55"/>
    </row>
    <row r="63" spans="1:46" s="54" customFormat="1" ht="24.75" customHeight="1" thickBot="1" x14ac:dyDescent="0.25">
      <c r="A63" s="101" t="s">
        <v>75</v>
      </c>
      <c r="B63" s="95"/>
      <c r="C63" s="102"/>
      <c r="D63" s="82">
        <f>SUM(E63:I63)</f>
        <v>0</v>
      </c>
      <c r="E63" s="96">
        <f>SUM(E64:E68)</f>
        <v>0</v>
      </c>
      <c r="F63" s="96">
        <f>SUM(F64:F68)</f>
        <v>0</v>
      </c>
      <c r="G63" s="96">
        <f>SUM(G64:G68)</f>
        <v>0</v>
      </c>
      <c r="H63" s="96">
        <f>SUM(H64:H68)</f>
        <v>0</v>
      </c>
      <c r="I63" s="96">
        <f>SUM(I64:I68)</f>
        <v>0</v>
      </c>
      <c r="J63" s="146"/>
      <c r="K63" s="146"/>
      <c r="L63" s="146"/>
      <c r="M63" s="146"/>
      <c r="N63" s="146"/>
      <c r="O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97"/>
      <c r="AI63" s="97"/>
      <c r="AJ63" s="97"/>
      <c r="AK63" s="97"/>
      <c r="AL63" s="97"/>
      <c r="AM63" s="97"/>
      <c r="AN63" s="97"/>
      <c r="AO63" s="97"/>
      <c r="AP63" s="97" t="s">
        <v>31</v>
      </c>
      <c r="AQ63" s="97"/>
      <c r="AR63" s="97"/>
      <c r="AS63" s="97"/>
      <c r="AT63" s="55"/>
    </row>
    <row r="64" spans="1:46" s="54" customFormat="1" ht="12" thickBot="1" x14ac:dyDescent="0.25">
      <c r="A64" s="110"/>
      <c r="B64" s="65"/>
      <c r="C64" s="65"/>
      <c r="D64" s="82"/>
      <c r="E64" s="92"/>
      <c r="F64" s="92"/>
      <c r="G64" s="92"/>
      <c r="H64" s="92"/>
      <c r="I64" s="92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9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9"/>
      <c r="AH64" s="87"/>
      <c r="AI64" s="87"/>
      <c r="AJ64" s="87"/>
      <c r="AK64" s="87"/>
      <c r="AL64" s="87"/>
      <c r="AM64" s="87"/>
      <c r="AN64" s="87"/>
      <c r="AO64" s="87"/>
      <c r="AP64" s="87"/>
      <c r="AQ64" s="87"/>
      <c r="AR64" s="87"/>
      <c r="AS64" s="99"/>
      <c r="AT64" s="55"/>
    </row>
    <row r="65" spans="1:46" s="54" customFormat="1" ht="12" thickBot="1" x14ac:dyDescent="0.25">
      <c r="A65" s="110"/>
      <c r="B65" s="65"/>
      <c r="C65" s="65"/>
      <c r="D65" s="82"/>
      <c r="E65" s="92"/>
      <c r="F65" s="92"/>
      <c r="G65" s="92"/>
      <c r="H65" s="92"/>
      <c r="I65" s="92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9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9"/>
      <c r="AH65" s="87"/>
      <c r="AI65" s="87"/>
      <c r="AJ65" s="87"/>
      <c r="AK65" s="87"/>
      <c r="AL65" s="87"/>
      <c r="AM65" s="87"/>
      <c r="AN65" s="87"/>
      <c r="AO65" s="87"/>
      <c r="AP65" s="87"/>
      <c r="AQ65" s="87"/>
      <c r="AR65" s="87"/>
      <c r="AS65" s="99"/>
      <c r="AT65" s="55"/>
    </row>
    <row r="66" spans="1:46" s="54" customFormat="1" ht="12" thickBot="1" x14ac:dyDescent="0.25">
      <c r="A66" s="110"/>
      <c r="B66" s="65"/>
      <c r="C66" s="65"/>
      <c r="D66" s="82"/>
      <c r="E66" s="92"/>
      <c r="F66" s="92"/>
      <c r="G66" s="92"/>
      <c r="H66" s="92"/>
      <c r="I66" s="92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9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9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99"/>
      <c r="AT66" s="55"/>
    </row>
    <row r="67" spans="1:46" s="54" customFormat="1" ht="12" thickBot="1" x14ac:dyDescent="0.25">
      <c r="A67" s="139"/>
      <c r="B67" s="140"/>
      <c r="C67" s="140"/>
      <c r="D67" s="141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100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100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55"/>
    </row>
    <row r="68" spans="1:46" s="54" customFormat="1" ht="12" thickBot="1" x14ac:dyDescent="0.25">
      <c r="A68" s="139"/>
      <c r="B68" s="140"/>
      <c r="C68" s="140"/>
      <c r="D68" s="141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100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100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55"/>
    </row>
    <row r="69" spans="1:46" s="54" customFormat="1" ht="24" customHeight="1" thickBot="1" x14ac:dyDescent="0.25">
      <c r="A69" s="101" t="s">
        <v>29</v>
      </c>
      <c r="B69" s="95"/>
      <c r="C69" s="102"/>
      <c r="D69" s="82">
        <f>SUM(E69:I69)</f>
        <v>0</v>
      </c>
      <c r="E69" s="96">
        <f>SUM(E70:E73)</f>
        <v>0</v>
      </c>
      <c r="F69" s="96">
        <f>SUM(F70:F73)</f>
        <v>0</v>
      </c>
      <c r="G69" s="96">
        <f>SUM(G70:G73)</f>
        <v>0</v>
      </c>
      <c r="H69" s="96">
        <f>SUM(H70:H73)</f>
        <v>0</v>
      </c>
      <c r="I69" s="96">
        <f>SUM(I70:I73)</f>
        <v>0</v>
      </c>
      <c r="J69" s="97"/>
      <c r="K69" s="97"/>
      <c r="L69" s="97"/>
      <c r="M69" s="97"/>
      <c r="N69" s="97"/>
      <c r="O69" s="97"/>
      <c r="P69" s="97" t="s">
        <v>30</v>
      </c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  <c r="AL69" s="97"/>
      <c r="AM69" s="97"/>
      <c r="AN69" s="97"/>
      <c r="AO69" s="97"/>
      <c r="AP69" s="97"/>
      <c r="AQ69" s="97"/>
      <c r="AR69" s="97"/>
      <c r="AS69" s="97"/>
      <c r="AT69" s="109"/>
    </row>
    <row r="70" spans="1:46" s="109" customFormat="1" ht="12" customHeight="1" thickBot="1" x14ac:dyDescent="0.25">
      <c r="A70" s="143"/>
      <c r="B70" s="144"/>
      <c r="C70" s="144"/>
      <c r="D70" s="141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9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9"/>
      <c r="AH70" s="87"/>
      <c r="AI70" s="87"/>
      <c r="AJ70" s="87"/>
      <c r="AK70" s="87"/>
      <c r="AL70" s="87"/>
      <c r="AM70" s="87"/>
      <c r="AN70" s="87"/>
      <c r="AO70" s="87"/>
      <c r="AP70" s="87"/>
      <c r="AQ70" s="87"/>
      <c r="AR70" s="87"/>
      <c r="AS70" s="90"/>
      <c r="AT70" s="142"/>
    </row>
    <row r="71" spans="1:46" s="109" customFormat="1" ht="12" thickBot="1" x14ac:dyDescent="0.25">
      <c r="A71" s="139"/>
      <c r="B71" s="140"/>
      <c r="C71" s="140"/>
      <c r="D71" s="141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100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100"/>
      <c r="AH71" s="99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142"/>
    </row>
    <row r="72" spans="1:46" s="109" customFormat="1" ht="12" thickBot="1" x14ac:dyDescent="0.25">
      <c r="A72" s="139"/>
      <c r="B72" s="140"/>
      <c r="C72" s="140"/>
      <c r="D72" s="141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100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100"/>
      <c r="AH72" s="99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142"/>
    </row>
    <row r="73" spans="1:46" s="109" customFormat="1" ht="12" thickBot="1" x14ac:dyDescent="0.25">
      <c r="A73" s="139"/>
      <c r="B73" s="140"/>
      <c r="C73" s="140"/>
      <c r="D73" s="141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100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100"/>
      <c r="AH73" s="99"/>
      <c r="AI73" s="99"/>
      <c r="AJ73" s="99"/>
      <c r="AK73" s="99"/>
      <c r="AL73" s="99"/>
      <c r="AM73" s="99"/>
      <c r="AN73" s="99"/>
      <c r="AO73" s="99"/>
      <c r="AP73" s="99"/>
      <c r="AQ73" s="99"/>
      <c r="AR73" s="99"/>
      <c r="AS73" s="99"/>
      <c r="AT73" s="142"/>
    </row>
  </sheetData>
  <mergeCells count="19">
    <mergeCell ref="B47:C47"/>
    <mergeCell ref="A33:C33"/>
    <mergeCell ref="A30:C30"/>
    <mergeCell ref="B42:C42"/>
    <mergeCell ref="B45:C45"/>
    <mergeCell ref="B46:C46"/>
    <mergeCell ref="B61:C61"/>
    <mergeCell ref="B62:C62"/>
    <mergeCell ref="B52:C52"/>
    <mergeCell ref="B57:C57"/>
    <mergeCell ref="B58:C58"/>
    <mergeCell ref="B59:C59"/>
    <mergeCell ref="B48:C48"/>
    <mergeCell ref="B49:C49"/>
    <mergeCell ref="B60:C60"/>
    <mergeCell ref="B55:C55"/>
    <mergeCell ref="B56:C56"/>
    <mergeCell ref="B50:C50"/>
    <mergeCell ref="B51:C51"/>
  </mergeCells>
  <phoneticPr fontId="0" type="noConversion"/>
  <printOptions gridLinesSet="0"/>
  <pageMargins left="0.19685039370078741" right="0.19685039370078741" top="0.51181102362204722" bottom="0.51181102362204722" header="0.11811023622047245" footer="0.31496062992125984"/>
  <pageSetup paperSize="9" scale="60" orientation="portrait" horizontalDpi="4294967292" verticalDpi="4294967292" r:id="rId1"/>
  <headerFooter alignWithMargins="0">
    <oddHeader>&amp;F</oddHeader>
    <oddFooter>&amp;LHHP/21July2003/Example&amp;Rto be used for planning AND follow-up</oddFooter>
  </headerFooter>
  <drawing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7B91BB2604B4D968988528F2E18FA" ma:contentTypeVersion="7" ma:contentTypeDescription="Create a new document." ma:contentTypeScope="" ma:versionID="199d72c89967cbdd9513e90914737ef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ddf9cb212464e7a042968925c50376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A9C259-4079-4290-BAE8-74E66E471E42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9535C6B-20CA-4A58-B32B-9DC3402E53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622E5A-27F8-4B28-A436-A1F571908C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Partner 1 - UU REBO</vt:lpstr>
      <vt:lpstr>Partner 10</vt:lpstr>
      <vt:lpstr>PM Overview</vt:lpstr>
      <vt:lpstr>table 1.3e SummaryStaffEffort </vt:lpstr>
      <vt:lpstr>Workpackage overview</vt:lpstr>
      <vt:lpstr>gantt chart-simple</vt:lpstr>
      <vt:lpstr>gantt-elaborate</vt:lpstr>
      <vt:lpstr>'table 1.3e SummaryStaffEffort '!_Hlk283905964</vt:lpstr>
      <vt:lpstr>'gantt-elaborate'!Print_Area</vt:lpstr>
      <vt:lpstr>'Partner 1 - UU REBO'!Print_Area</vt:lpstr>
    </vt:vector>
  </TitlesOfParts>
  <Company>FNSP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FNSP</dc:creator>
  <cp:lastModifiedBy>Robinson, M.G. (Michael)</cp:lastModifiedBy>
  <cp:lastPrinted>2016-02-01T13:50:12Z</cp:lastPrinted>
  <dcterms:created xsi:type="dcterms:W3CDTF">2005-02-17T09:02:07Z</dcterms:created>
  <dcterms:modified xsi:type="dcterms:W3CDTF">2017-08-25T08:33:39Z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0x0101002057B91BB2604B4D968988528F2E18FA</vt:lpwstr>
  </property>
</Properties>
</file>