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1420" windowHeight="9945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J7" i="1"/>
  <c r="M8"/>
  <c r="I7"/>
  <c r="G21"/>
  <c r="G20"/>
  <c r="I11"/>
  <c r="K8" s="1"/>
  <c r="G11"/>
  <c r="G8"/>
  <c r="G7"/>
  <c r="L7"/>
  <c r="K7"/>
  <c r="H10"/>
  <c r="L8" l="1"/>
  <c r="J8"/>
  <c r="I8"/>
  <c r="I12"/>
  <c r="I13" l="1"/>
  <c r="I14"/>
</calcChain>
</file>

<file path=xl/sharedStrings.xml><?xml version="1.0" encoding="utf-8"?>
<sst xmlns="http://schemas.openxmlformats.org/spreadsheetml/2006/main" count="28" uniqueCount="27">
  <si>
    <t>months</t>
  </si>
  <si>
    <t>base</t>
  </si>
  <si>
    <t>total</t>
  </si>
  <si>
    <t>Kierownik</t>
  </si>
  <si>
    <t>2 000,00 zł</t>
  </si>
  <si>
    <t>Co-investigator</t>
  </si>
  <si>
    <t>Stypendysta</t>
  </si>
  <si>
    <t>4 500,00 zł</t>
  </si>
  <si>
    <t>Post-doc</t>
  </si>
  <si>
    <t>5 639,00 zł</t>
  </si>
  <si>
    <t>Laptop</t>
  </si>
  <si>
    <t>4 000,00 zł</t>
  </si>
  <si>
    <t>CAPI</t>
  </si>
  <si>
    <t>325 950,00 zł</t>
  </si>
  <si>
    <t>CAWI</t>
  </si>
  <si>
    <t>95 940,00 zł</t>
  </si>
  <si>
    <t>Conferences and business trips</t>
  </si>
  <si>
    <t>36 240,00 zł</t>
  </si>
  <si>
    <t>Visits and consultations </t>
  </si>
  <si>
    <t>13 800,00 zł</t>
  </si>
  <si>
    <t>SUMA</t>
  </si>
  <si>
    <t>całość</t>
  </si>
  <si>
    <t>zespół</t>
  </si>
  <si>
    <t>osobowe dodatkowe</t>
  </si>
  <si>
    <t>badania</t>
  </si>
  <si>
    <t>inne</t>
  </si>
  <si>
    <t>Plus koszty pośrednie </t>
  </si>
</sst>
</file>

<file path=xl/styles.xml><?xml version="1.0" encoding="utf-8"?>
<styleSheet xmlns="http://schemas.openxmlformats.org/spreadsheetml/2006/main">
  <fonts count="5">
    <font>
      <sz val="11"/>
      <color theme="1"/>
      <name val="Czcionka tekstu podstawowego"/>
      <family val="2"/>
      <charset val="238"/>
    </font>
    <font>
      <sz val="8"/>
      <color rgb="FF000000"/>
      <name val="Helvetica Neue"/>
    </font>
    <font>
      <b/>
      <sz val="8"/>
      <color rgb="FF000000"/>
      <name val="Helvetica Neue"/>
    </font>
    <font>
      <sz val="9"/>
      <color rgb="FF000000"/>
      <name val="Helvetica"/>
    </font>
    <font>
      <sz val="8"/>
      <color rgb="FF222222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BEC0B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2" xfId="0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vertical="top" wrapText="1"/>
    </xf>
    <xf numFmtId="2" fontId="0" fillId="0" borderId="0" xfId="0" applyNumberFormat="1"/>
    <xf numFmtId="2" fontId="0" fillId="4" borderId="0" xfId="0" applyNumberFormat="1" applyFill="1"/>
    <xf numFmtId="9" fontId="0" fillId="0" borderId="0" xfId="0" applyNumberFormat="1"/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3:M23"/>
  <sheetViews>
    <sheetView tabSelected="1" topLeftCell="A4" workbookViewId="0">
      <selection activeCell="I18" sqref="I18"/>
    </sheetView>
  </sheetViews>
  <sheetFormatPr defaultRowHeight="14.25"/>
  <cols>
    <col min="9" max="9" width="10.375" bestFit="1" customWidth="1"/>
    <col min="10" max="11" width="9.375" bestFit="1" customWidth="1"/>
    <col min="13" max="13" width="9.375" bestFit="1" customWidth="1"/>
  </cols>
  <sheetData>
    <row r="3" spans="4:13" ht="15" thickBot="1"/>
    <row r="4" spans="4:13">
      <c r="D4" s="1"/>
      <c r="E4" s="8" t="s">
        <v>1</v>
      </c>
      <c r="F4" s="8" t="s">
        <v>2</v>
      </c>
    </row>
    <row r="5" spans="4:13" ht="15" thickBot="1">
      <c r="D5" s="2" t="s">
        <v>0</v>
      </c>
      <c r="E5" s="9"/>
      <c r="F5" s="9"/>
    </row>
    <row r="6" spans="4:13" ht="15" thickBot="1">
      <c r="D6" s="3" t="s">
        <v>3</v>
      </c>
      <c r="E6" s="4">
        <v>36</v>
      </c>
      <c r="F6" s="4" t="s">
        <v>4</v>
      </c>
      <c r="G6" s="10">
        <v>72000</v>
      </c>
      <c r="I6" t="s">
        <v>22</v>
      </c>
      <c r="J6" t="s">
        <v>23</v>
      </c>
      <c r="K6" t="s">
        <v>24</v>
      </c>
      <c r="L6" t="s">
        <v>25</v>
      </c>
    </row>
    <row r="7" spans="4:13" ht="34.5" thickBot="1">
      <c r="D7" s="3" t="s">
        <v>5</v>
      </c>
      <c r="E7" s="4">
        <v>36</v>
      </c>
      <c r="F7" s="4">
        <v>1750</v>
      </c>
      <c r="G7" s="10">
        <f>1750*36</f>
        <v>63000</v>
      </c>
      <c r="I7" s="12">
        <f>SUM(G6:G9)</f>
        <v>198000</v>
      </c>
      <c r="J7" s="12">
        <f>SUM(G10,G11)</f>
        <v>365004</v>
      </c>
      <c r="K7" s="12">
        <f>SUM(G14:G15)</f>
        <v>421890</v>
      </c>
      <c r="L7" s="12">
        <f>SUM(G16:G17,G13)</f>
        <v>59484</v>
      </c>
    </row>
    <row r="8" spans="4:13" ht="34.5" thickBot="1">
      <c r="D8" s="3" t="s">
        <v>5</v>
      </c>
      <c r="E8" s="4">
        <v>36</v>
      </c>
      <c r="F8" s="4">
        <v>1750</v>
      </c>
      <c r="G8" s="10">
        <f>1750*36</f>
        <v>63000</v>
      </c>
      <c r="I8">
        <f>I7*100/$I$11</f>
        <v>18.95865290153565</v>
      </c>
      <c r="J8">
        <f t="shared" ref="J8:L8" si="0">J7*100/$I$11</f>
        <v>34.949414867030903</v>
      </c>
      <c r="K8">
        <f t="shared" si="0"/>
        <v>40.396293296105434</v>
      </c>
      <c r="L8">
        <f t="shared" si="0"/>
        <v>5.695638935328013</v>
      </c>
      <c r="M8">
        <f>SUM(I8:L8)</f>
        <v>100</v>
      </c>
    </row>
    <row r="9" spans="4:13" ht="15" thickBot="1">
      <c r="D9" s="3"/>
      <c r="E9" s="4"/>
      <c r="F9" s="4"/>
      <c r="G9" s="10"/>
    </row>
    <row r="10" spans="4:13" ht="23.25" thickBot="1">
      <c r="D10" s="3" t="s">
        <v>6</v>
      </c>
      <c r="E10" s="4">
        <v>36</v>
      </c>
      <c r="F10" s="4" t="s">
        <v>7</v>
      </c>
      <c r="G10" s="10">
        <v>162000</v>
      </c>
      <c r="H10">
        <f>36*3500</f>
        <v>126000</v>
      </c>
      <c r="I10" t="s">
        <v>21</v>
      </c>
    </row>
    <row r="11" spans="4:13" ht="15" thickBot="1">
      <c r="D11" s="3" t="s">
        <v>8</v>
      </c>
      <c r="E11" s="4">
        <v>36</v>
      </c>
      <c r="F11" s="4" t="s">
        <v>9</v>
      </c>
      <c r="G11" s="10">
        <f>36*5639</f>
        <v>203004</v>
      </c>
      <c r="I11" s="13">
        <f>SUM(G6:G17)</f>
        <v>1044378</v>
      </c>
      <c r="K11" s="12"/>
      <c r="M11" s="12"/>
    </row>
    <row r="12" spans="4:13" ht="15" thickBot="1">
      <c r="D12" s="3"/>
      <c r="E12" s="4"/>
      <c r="F12" s="4"/>
      <c r="G12" s="10"/>
      <c r="H12" s="14">
        <v>0.2</v>
      </c>
      <c r="I12">
        <f>1.2*I11</f>
        <v>1253253.5999999999</v>
      </c>
    </row>
    <row r="13" spans="4:13" ht="15" thickBot="1">
      <c r="D13" s="3" t="s">
        <v>10</v>
      </c>
      <c r="E13" s="4">
        <v>2</v>
      </c>
      <c r="F13" s="4" t="s">
        <v>11</v>
      </c>
      <c r="G13" s="10">
        <v>8000</v>
      </c>
      <c r="H13" s="14">
        <v>0.3</v>
      </c>
      <c r="I13">
        <f>1.3*I11</f>
        <v>1357691.4000000001</v>
      </c>
    </row>
    <row r="14" spans="4:13" ht="15" thickBot="1">
      <c r="D14" s="3" t="s">
        <v>12</v>
      </c>
      <c r="E14" s="5"/>
      <c r="F14" s="4" t="s">
        <v>13</v>
      </c>
      <c r="G14" s="10">
        <v>325950</v>
      </c>
      <c r="H14" s="14">
        <v>0.4</v>
      </c>
      <c r="I14" s="15">
        <f>1.4*I11</f>
        <v>1462129.2</v>
      </c>
    </row>
    <row r="15" spans="4:13" ht="15" thickBot="1">
      <c r="D15" s="3" t="s">
        <v>14</v>
      </c>
      <c r="E15" s="5"/>
      <c r="F15" s="6" t="s">
        <v>15</v>
      </c>
      <c r="G15" s="10">
        <v>95940</v>
      </c>
    </row>
    <row r="16" spans="4:13" ht="45.75" thickBot="1">
      <c r="D16" s="3" t="s">
        <v>16</v>
      </c>
      <c r="E16" s="5"/>
      <c r="F16" s="4" t="s">
        <v>17</v>
      </c>
      <c r="G16" s="10">
        <v>37684</v>
      </c>
    </row>
    <row r="17" spans="4:7" ht="34.5" thickBot="1">
      <c r="D17" s="3" t="s">
        <v>18</v>
      </c>
      <c r="E17" s="5"/>
      <c r="F17" s="4" t="s">
        <v>19</v>
      </c>
      <c r="G17" s="10">
        <v>13800</v>
      </c>
    </row>
    <row r="18" spans="4:7" ht="15" thickBot="1">
      <c r="D18" s="7"/>
      <c r="E18" s="5"/>
      <c r="F18" s="5"/>
      <c r="G18" s="11"/>
    </row>
    <row r="19" spans="4:7" ht="15" thickBot="1">
      <c r="D19" s="7"/>
      <c r="E19" s="5"/>
      <c r="F19" s="5"/>
      <c r="G19" s="11"/>
    </row>
    <row r="20" spans="4:7" ht="23.25" thickBot="1">
      <c r="D20" s="3" t="s">
        <v>20</v>
      </c>
      <c r="E20" s="5"/>
      <c r="F20" s="5"/>
      <c r="G20" s="10">
        <f>SUM(G6:G17)</f>
        <v>1044378</v>
      </c>
    </row>
    <row r="21" spans="4:7" ht="23.25" thickBot="1">
      <c r="D21" s="3" t="s">
        <v>26</v>
      </c>
      <c r="E21" s="5"/>
      <c r="F21" s="5"/>
      <c r="G21" s="10">
        <f>1.4*G20</f>
        <v>1462129.2</v>
      </c>
    </row>
    <row r="22" spans="4:7" ht="15" thickBot="1">
      <c r="D22" s="7"/>
      <c r="E22" s="5"/>
      <c r="F22" s="5"/>
      <c r="G22" s="11"/>
    </row>
    <row r="23" spans="4:7" ht="15" thickBot="1">
      <c r="D23" s="3"/>
      <c r="E23" s="5"/>
      <c r="F23" s="5"/>
      <c r="G23" s="10"/>
    </row>
  </sheetData>
  <mergeCells count="2">
    <mergeCell ref="E4:E5"/>
    <mergeCell ref="F4:F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Kwiatkowska</dc:creator>
  <cp:lastModifiedBy>Agnieszka Kwiatkowska</cp:lastModifiedBy>
  <dcterms:created xsi:type="dcterms:W3CDTF">2018-12-06T15:03:05Z</dcterms:created>
  <dcterms:modified xsi:type="dcterms:W3CDTF">2018-12-06T15:47:12Z</dcterms:modified>
</cp:coreProperties>
</file>